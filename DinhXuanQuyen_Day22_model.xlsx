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Track1_Day22_2A202602358_DinhXuanQuyen\tmp\review_day22\test_actual\"/>
    </mc:Choice>
  </mc:AlternateContent>
  <xr:revisionPtr revIDLastSave="0" documentId="8_{971323B3-55BF-4637-8D13-937C3B73EDD8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" l="1"/>
  <c r="C34" i="5"/>
  <c r="B34" i="5"/>
  <c r="B22" i="5"/>
  <c r="H11" i="5"/>
  <c r="H24" i="5" s="1"/>
  <c r="H25" i="5" s="1"/>
  <c r="B8" i="5"/>
  <c r="B18" i="4"/>
  <c r="B10" i="4"/>
  <c r="B34" i="3"/>
  <c r="B31" i="3"/>
  <c r="B30" i="3"/>
  <c r="H25" i="3"/>
  <c r="H16" i="3"/>
  <c r="H7" i="3"/>
  <c r="H6" i="3"/>
  <c r="H5" i="3"/>
  <c r="B77" i="2"/>
  <c r="B64" i="2"/>
  <c r="B55" i="2"/>
  <c r="B54" i="2"/>
  <c r="H51" i="2"/>
  <c r="H40" i="2"/>
  <c r="H41" i="2" s="1"/>
  <c r="B38" i="2"/>
  <c r="B73" i="2" s="1"/>
  <c r="H33" i="2"/>
  <c r="B26" i="2"/>
  <c r="B28" i="2" s="1"/>
  <c r="B29" i="2" s="1"/>
  <c r="H25" i="2"/>
  <c r="B25" i="2"/>
  <c r="H24" i="2"/>
  <c r="B24" i="2"/>
  <c r="B23" i="2"/>
  <c r="H21" i="2"/>
  <c r="H17" i="2"/>
  <c r="H16" i="2"/>
  <c r="H15" i="2"/>
  <c r="B11" i="2"/>
  <c r="H22" i="6"/>
  <c r="B27" i="2" l="1"/>
  <c r="B31" i="2" s="1"/>
  <c r="H26" i="2"/>
  <c r="H30" i="2" s="1"/>
  <c r="H18" i="2"/>
  <c r="H8" i="3"/>
  <c r="B21" i="4"/>
  <c r="B35" i="5"/>
  <c r="J49" i="3"/>
  <c r="J48" i="3"/>
  <c r="J47" i="3"/>
  <c r="J46" i="3"/>
  <c r="J45" i="3"/>
  <c r="H31" i="2"/>
  <c r="B56" i="2"/>
  <c r="B11" i="3"/>
  <c r="H9" i="3"/>
  <c r="H44" i="2"/>
  <c r="B12" i="2"/>
  <c r="B72" i="2" l="1"/>
  <c r="B47" i="2"/>
  <c r="B75" i="2" s="1"/>
  <c r="H19" i="2"/>
  <c r="H17" i="3" s="1"/>
  <c r="H28" i="2"/>
  <c r="B19" i="3"/>
  <c r="B51" i="3" s="1"/>
  <c r="H14" i="3"/>
  <c r="H24" i="3"/>
  <c r="B5" i="5"/>
  <c r="B10" i="5" s="1"/>
  <c r="B15" i="5" s="1"/>
  <c r="B63" i="2"/>
  <c r="B76" i="2"/>
  <c r="B15" i="3"/>
  <c r="B16" i="3"/>
  <c r="B10" i="3"/>
  <c r="H31" i="3"/>
  <c r="H62" i="3" l="1"/>
  <c r="H23" i="6"/>
  <c r="H29" i="2"/>
  <c r="H32" i="2" s="1"/>
  <c r="B41" i="2"/>
  <c r="B43" i="2" s="1"/>
  <c r="H57" i="3"/>
  <c r="H58" i="3" s="1"/>
  <c r="H59" i="3" s="1"/>
  <c r="H29" i="3"/>
  <c r="H21" i="3"/>
  <c r="H20" i="3"/>
  <c r="H27" i="3"/>
  <c r="H28" i="3" s="1"/>
  <c r="B16" i="5"/>
  <c r="B17" i="5" s="1"/>
  <c r="H17" i="5"/>
  <c r="H18" i="5" s="1"/>
  <c r="B12" i="3"/>
  <c r="B13" i="3"/>
  <c r="B74" i="2" l="1"/>
  <c r="B29" i="3"/>
  <c r="B62" i="2"/>
  <c r="H22" i="3"/>
  <c r="H60" i="3"/>
  <c r="H61" i="3" s="1"/>
  <c r="H34" i="2"/>
  <c r="H10" i="3"/>
  <c r="H53" i="3" s="1"/>
  <c r="H54" i="3"/>
  <c r="H11" i="3"/>
  <c r="H18" i="3"/>
  <c r="H36" i="3"/>
  <c r="H37" i="3" s="1"/>
  <c r="B43" i="3" l="1"/>
  <c r="C43" i="3" s="1"/>
  <c r="D43" i="3" s="1"/>
  <c r="B40" i="3"/>
  <c r="C40" i="3" s="1"/>
  <c r="D40" i="3" s="1"/>
  <c r="B39" i="3"/>
  <c r="C39" i="3" s="1"/>
  <c r="D39" i="3" s="1"/>
  <c r="B44" i="3"/>
  <c r="C44" i="3" s="1"/>
  <c r="D44" i="3" s="1"/>
  <c r="B42" i="3"/>
  <c r="C42" i="3" s="1"/>
  <c r="D42" i="3" s="1"/>
  <c r="B41" i="3"/>
  <c r="C41" i="3" s="1"/>
  <c r="D41" i="3" s="1"/>
  <c r="H40" i="3"/>
  <c r="B33" i="3"/>
  <c r="B66" i="2"/>
  <c r="B65" i="2"/>
  <c r="H46" i="3"/>
  <c r="H32" i="3"/>
  <c r="H33" i="3" s="1"/>
  <c r="H49" i="3"/>
  <c r="H45" i="3"/>
  <c r="H47" i="3"/>
  <c r="H48" i="3"/>
  <c r="H13" i="3"/>
  <c r="H12" i="3"/>
  <c r="B53" i="3" l="1"/>
  <c r="B35" i="3"/>
  <c r="B5" i="3"/>
  <c r="B69" i="2"/>
  <c r="C77" i="2"/>
  <c r="C76" i="2"/>
  <c r="C75" i="2"/>
  <c r="C74" i="2"/>
  <c r="C73" i="2"/>
  <c r="C72" i="2"/>
  <c r="B67" i="2"/>
  <c r="I45" i="3"/>
  <c r="I46" i="3"/>
  <c r="I47" i="3"/>
  <c r="I48" i="3"/>
  <c r="I49" i="3"/>
  <c r="B21" i="3" l="1"/>
  <c r="B49" i="3"/>
  <c r="B20" i="3"/>
  <c r="B22" i="3" s="1"/>
  <c r="B7" i="3"/>
  <c r="B25" i="3" s="1"/>
  <c r="B50" i="3"/>
  <c r="B23" i="3" l="1"/>
  <c r="B24" i="3"/>
  <c r="B6" i="5"/>
  <c r="B52" i="3"/>
  <c r="H12" i="5" l="1"/>
  <c r="B9" i="5"/>
  <c r="B23" i="5" l="1"/>
  <c r="B24" i="5" s="1"/>
  <c r="H13" i="5"/>
  <c r="H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100-000001000000}">
      <text>
        <r>
          <rPr>
            <sz val="11"/>
            <color theme="1"/>
            <rFont val="Calibri"/>
          </rPr>
          <t>======
ID#AAACIQEOV6c
Unknown Author    (2026-10-08 02:20:56)
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<sst xmlns="http://schemas.openxmlformats.org/spreadsheetml/2006/main" count="957" uniqueCount="853">
  <si>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</si>
  <si>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</si>
  <si>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</si>
  <si>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</si>
  <si>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</si>
  <si>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</si>
  <si>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</si>
  <si>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</si>
  <si>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</si>
  <si>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</si>
  <si>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</si>
  <si>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</si>
  <si>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</si>
  <si>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</si>
  <si>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</si>
  <si>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</si>
  <si>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</si>
  <si>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</si>
  <si>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</si>
  <si>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</si>
  <si>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</si>
  <si>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</si>
  <si>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</si>
  <si>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</si>
  <si>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</si>
  <si>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</si>
  <si>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TAB 1 — COST/JOB CALCULATOR</t>
  </si>
  <si>
    <t>Trạm 1 (S1–S2) và Trạm 3 (S3–S8). Chỉ điền ô vàng.</t>
  </si>
  <si>
    <t>S1. ĐỊNH NGHĨA JOB</t>
  </si>
  <si>
    <t>1 job của bạn là gì?</t>
  </si>
  <si>
    <t>Biến thể HITL: A hay B?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</si>
  <si>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</si>
  <si>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</si>
  <si>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</si>
  <si>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</si>
  <si>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</si>
  <si>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</si>
  <si>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</si>
  <si>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</si>
  <si>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</si>
  <si>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</si>
  <si>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</si>
  <si>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Giá output ($ / 1M token)</t>
  </si>
  <si>
    <t>Giá cache WRITE ($ / 1M token)</t>
  </si>
  <si>
    <t>Giá cache READ ($ / 1M token)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</si>
  <si>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</si>
  <si>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</si>
  <si>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</si>
  <si>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</si>
  <si>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</si>
  <si>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</si>
  <si>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</si>
  <si>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</si>
  <si>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</si>
  <si>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</si>
  <si>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</si>
  <si>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</si>
  <si>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</si>
  <si>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</si>
  <si>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</si>
  <si>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</si>
  <si>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</si>
  <si>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→ LLM / job sau Batch</t>
  </si>
  <si>
    <t>S4. API — SPEECH (để 0 nếu sản phẩm không có thoại)</t>
  </si>
  <si>
    <t>Giá STT ($ / phút)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</si>
  <si>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</si>
  <si>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</si>
  <si>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</si>
  <si>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</si>
  <si>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</si>
  <si>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</si>
  <si>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</si>
  <si>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</si>
  <si>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</si>
  <si>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Telephony ($ / phút)</t>
  </si>
  <si>
    <t>→ Infra / job</t>
  </si>
  <si>
    <t>S6. RETRY</t>
  </si>
  <si>
    <t>Tỷ lệ job phải chạy lại</t>
  </si>
  <si>
    <t>S7. HITL — người trong vòng lặp</t>
  </si>
  <si>
    <t>Chi phí nhân sự ($ / giờ, fully-loaded)</t>
  </si>
  <si>
    <t>% hội thoại QA nội bộ</t>
  </si>
  <si>
    <t>Số phút QA / ca</t>
  </si>
  <si>
    <t>Số phút xử lý 1 ca escalate</t>
  </si>
  <si>
    <t>→ QA nội bộ / tháng</t>
  </si>
  <si>
    <t>→ Escalation / tháng (chỉ Biến thể B)</t>
  </si>
  <si>
    <t>→ Tổng HITL / tháng</t>
  </si>
  <si>
    <t>S8. OVERHEAD (tuỳ chọn)</t>
  </si>
  <si>
    <t>R&amp;D + Sales phân bổ / tháng ($)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</si>
  <si>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</si>
  <si>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</si>
  <si>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</si>
  <si>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</si>
  <si>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</si>
  <si>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</si>
  <si>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</si>
  <si>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</si>
  <si>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</si>
  <si>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</si>
  <si>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</si>
  <si>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→ Cost/Job quy đổi</t>
  </si>
  <si>
    <t>₫/job</t>
  </si>
  <si>
    <t>THÀNH PHẦN NÀO ĂN NHIỀU NHẤT? (kiểm tra nhanh)</t>
  </si>
  <si>
    <t>LLM</t>
  </si>
  <si>
    <t>Speech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</si>
  <si>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</si>
  <si>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</si>
  <si>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</si>
  <si>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</si>
  <si>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</si>
  <si>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</si>
  <si>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</si>
  <si>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</si>
  <si>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</si>
  <si>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</si>
  <si>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</si>
  <si>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</si>
  <si>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</si>
  <si>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</si>
  <si>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</si>
  <si>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</si>
  <si>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</si>
  <si>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</si>
  <si>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</si>
  <si>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</si>
  <si>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</si>
  <si>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</si>
  <si>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</si>
  <si>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</si>
  <si>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</si>
  <si>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</si>
  <si>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</si>
  <si>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</si>
  <si>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</si>
  <si>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</si>
  <si>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</si>
  <si>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</si>
  <si>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</si>
  <si>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</si>
  <si>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Containment hiện tại (từ tab 1)</t>
  </si>
  <si>
    <t>Containment</t>
  </si>
  <si>
    <t>Cost/Job</t>
  </si>
  <si>
    <t>Gross Margin</t>
  </si>
  <si>
    <t>Đánh giá</t>
  </si>
  <si>
    <t>5 CON SỐ PHẢI MANG SANG ONE-PAGER</t>
  </si>
  <si>
    <t>Giá sàn (3×)</t>
  </si>
  <si>
    <t>Giá bán đề xuất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</si>
  <si>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</si>
  <si>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</si>
  <si>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</si>
  <si>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</si>
  <si>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</si>
  <si>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</si>
  <si>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</si>
  <si>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</si>
  <si>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</si>
  <si>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</si>
  <si>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</si>
  <si>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</si>
  <si>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</si>
  <si>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</si>
  <si>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</si>
  <si>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</si>
  <si>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</si>
  <si>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</si>
  <si>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</si>
  <si>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</si>
  <si>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</si>
  <si>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</si>
  <si>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</si>
  <si>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</si>
  <si>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QUYẾT ĐỊNH CUỐI</t>
  </si>
  <si>
    <t>Value Metric tôi chọn</t>
  </si>
  <si>
    <t>Nếu KHÁC gợi ý — lý do thị trường là gì?</t>
  </si>
  <si>
    <t>Decision Note — câu 1: tôi chọn đơn vị nào?</t>
  </si>
  <si>
    <t>Decision Note — câu 2: bằng chứng Attribution / Autonomy?</t>
  </si>
  <si>
    <t>Decision Note — câu 3: mô hình này lỗ trong tình huống nào?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</si>
  <si>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</si>
  <si>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</si>
  <si>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</si>
  <si>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</si>
  <si>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</si>
  <si>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</si>
  <si>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</si>
  <si>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</si>
  <si>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</si>
  <si>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</si>
  <si>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</si>
  <si>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</si>
  <si>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</si>
  <si>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</si>
  <si>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</si>
  <si>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</si>
  <si>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</si>
  <si>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</si>
  <si>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</si>
  <si>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</si>
  <si>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</si>
  <si>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</si>
  <si>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</si>
  <si>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</si>
  <si>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</si>
  <si>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</si>
  <si>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→ Kết luận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</si>
  <si>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</si>
  <si>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</si>
  <si>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</si>
  <si>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</si>
  <si>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</si>
  <si>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</si>
  <si>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</si>
  <si>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</si>
  <si>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</si>
  <si>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</si>
  <si>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</si>
  <si>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</si>
  <si>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</si>
  <si>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</si>
  <si>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</si>
  <si>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</si>
  <si>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</si>
  <si>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</si>
  <si>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</si>
  <si>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Bạn mang lại giá trị gì cho partner?</t>
  </si>
  <si>
    <t>Nếu rơi vào vùng không khả thi — lối thoát nào?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</si>
  <si>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</si>
  <si>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</si>
  <si>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</si>
  <si>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</si>
  <si>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</si>
  <si>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</si>
  <si>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</si>
  <si>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</si>
  <si>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</si>
  <si>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</si>
  <si>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</si>
  <si>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</si>
  <si>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</si>
  <si>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</si>
  <si>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Mục tiêu số khách</t>
  </si>
  <si>
    <t>Việc cụ thể 1</t>
  </si>
  <si>
    <t>Việc cụ thể 2</t>
  </si>
  <si>
    <t>Việc cụ thể 3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</si>
  <si>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</si>
  <si>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</si>
  <si>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</si>
  <si>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</si>
  <si>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</si>
  <si>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</si>
  <si>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</si>
  <si>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</si>
  <si>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</si>
  <si>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 xml:space="preserve">2. Risk Checklist </t>
  </si>
  <si>
    <t>3. Pilot Report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</si>
  <si>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</si>
  <si>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</si>
  <si>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</si>
  <si>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</si>
  <si>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</si>
  <si>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</si>
  <si>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TAB 6 — BENCHMARKS (CHỈ ĐỌC)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</si>
  <si>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</si>
  <si>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</si>
  <si>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</si>
  <si>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</si>
  <si>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</si>
  <si>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</si>
  <si>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</si>
  <si>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</si>
  <si>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</si>
  <si>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</si>
  <si>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</si>
  <si>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</si>
  <si>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</si>
  <si>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</si>
  <si>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</si>
  <si>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</si>
  <si>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</si>
  <si>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</si>
  <si>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</si>
  <si>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</si>
  <si>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</si>
  <si>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</si>
  <si>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</si>
  <si>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</si>
  <si>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</si>
  <si>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</si>
  <si>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</si>
  <si>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</si>
  <si>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</si>
  <si>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</si>
  <si>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</si>
  <si>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</si>
  <si>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</si>
  <si>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</si>
  <si>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</si>
  <si>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</si>
  <si>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</si>
  <si>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</si>
  <si>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</si>
  <si>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</si>
  <si>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</si>
  <si>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</si>
  <si>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</si>
  <si>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</si>
  <si>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</si>
  <si>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</si>
  <si>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</si>
  <si>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</si>
  <si>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</si>
  <si>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</si>
  <si>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</si>
  <si>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</si>
  <si>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</si>
  <si>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</si>
  <si>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</si>
  <si>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</si>
  <si>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</si>
  <si>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</si>
  <si>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</si>
  <si>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</si>
  <si>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</si>
  <si>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</si>
  <si>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</si>
  <si>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</si>
  <si>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</si>
  <si>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</si>
  <si>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</si>
  <si>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</si>
  <si>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</si>
  <si>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</si>
  <si>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</si>
  <si>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</si>
  <si>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</si>
  <si>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</si>
  <si>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</si>
  <si>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</si>
  <si>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</si>
  <si>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</si>
  <si>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</si>
  <si>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</si>
  <si>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</si>
  <si>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</si>
  <si>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</si>
  <si>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</si>
  <si>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</si>
  <si>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</si>
  <si>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</si>
  <si>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</si>
  <si>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</si>
  <si>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</si>
  <si>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</si>
  <si>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</si>
  <si>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</si>
  <si>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</si>
  <si>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</si>
  <si>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</si>
  <si>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</si>
  <si>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</si>
  <si>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</si>
  <si>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</si>
  <si>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</si>
  <si>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</si>
  <si>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</si>
  <si>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</si>
  <si>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</si>
  <si>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</si>
  <si>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</si>
  <si>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</si>
  <si>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</si>
  <si>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</si>
  <si>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</si>
  <si>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</si>
  <si>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</si>
  <si>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</si>
  <si>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</si>
  <si>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</si>
  <si>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</si>
  <si>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</si>
  <si>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</si>
  <si>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</si>
  <si>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</si>
  <si>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</si>
  <si>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</si>
  <si>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</si>
  <si>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</si>
  <si>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</si>
  <si>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</si>
  <si>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DAY 22 — SMARTCHECK-IN KIOSK</t>
  </si>
  <si>
    <t>Đinh Xuân Quyền · 2A202602358 · Trước kiểm thử · 08/10/2026</t>
  </si>
  <si>
    <t>PHẠM VI VÀ CÁCH ĐỌC</t>
  </si>
  <si>
    <t>Trạng thái</t>
  </si>
  <si>
    <t>Đang triển khai, chưa kiểm thử</t>
  </si>
  <si>
    <t>Số vận hành, giá bán, CAC là giả định có giải thích.</t>
  </si>
  <si>
    <t>Đơn vị kinh tế</t>
  </si>
  <si>
    <t>1 khách sạn / 1 tháng</t>
  </si>
  <si>
    <t>Kịch bản mục tiêu 10 khách sạn, chưa đạt hiện tại.</t>
  </si>
  <si>
    <t>Phân khúc đề xuất</t>
  </si>
  <si>
    <t>Khách sạn 120 phòng tại Việt Nam</t>
  </si>
  <si>
    <t>Booking đơn có 1 người cần eKYC; nhóm khách chưa thuộc phạm vi pilot.</t>
  </si>
  <si>
    <t>Thiết bị</t>
  </si>
  <si>
    <t>Khách sạn tự trang bị</t>
  </si>
  <si>
    <t>Không bán kiosk, camera hoặc máy cấp thẻ.</t>
  </si>
  <si>
    <t>Phạm vi job</t>
  </si>
  <si>
    <t>eKYC + CHECKED_IN + room_assigned</t>
  </si>
  <si>
    <t>Không đồng nghĩa cấp chìa khóa hay chứng minh giấy tờ là thật.</t>
  </si>
  <si>
    <t>Mô hình giá</t>
  </si>
  <si>
    <t>Hybrid: $30/tháng + $0.11/hồ sơ</t>
  </si>
  <si>
    <t>Cap 1,200 hồ sơ; phí nền không bao gồm lượt miễn phí.</t>
  </si>
  <si>
    <t>Case tính tiền</t>
  </si>
  <si>
    <t>hotel_id + booking_id + arrival_id</t>
  </si>
  <si>
    <t>Một lần khi booking hợp lệ và bắt đầu OCR; retry không thu thêm.</t>
  </si>
  <si>
    <t>A: lễ tân khách sạn xử lý ca lỗi</t>
  </si>
  <si>
    <t>QA nội bộ và support của nhà cung cấp có trong COGS.</t>
  </si>
  <si>
    <t>Khớp mẫu</t>
  </si>
  <si>
    <t>Giữ nguyên công thức xám gốc</t>
  </si>
  <si>
    <t>B41 vàng gom API eKYC + retry + infra từ khối chi tiết; không giả thành token.</t>
  </si>
  <si>
    <t>Giá/job tab 2</t>
  </si>
  <si>
    <t>Đơn giá quy đổi từ Hybrid</t>
  </si>
  <si>
    <t>Hóa đơn không tính theo số check-in thành công.</t>
  </si>
  <si>
    <t>Containment tài chính</t>
  </si>
  <si>
    <t>Không có ngưỡng riêng ở N cố định</t>
  </si>
  <si>
    <t>Hybrid + HITL A: doanh thu và COGS không đổi theo containment.</t>
  </si>
  <si>
    <t>Ngưỡng dùng để quyết định</t>
  </si>
  <si>
    <t>81% để giá &lt;=25% giá trị tiết kiệm</t>
  </si>
  <si>
    <t>Sensitivity gốc</t>
  </si>
  <si>
    <t>Chỉ tham chiếu Outcome giá cố định</t>
  </si>
  <si>
    <t>Không dùng B33/B35 và A39:D44 kết luận cho Hybrid.</t>
  </si>
  <si>
    <t>Trước pilot</t>
  </si>
  <si>
    <t>Loại khỏi gói</t>
  </si>
  <si>
    <t>Thiết bị, thanh toán, thuế, cấp thẻ</t>
  </si>
  <si>
    <t>Nếu bán thêm phải tính lại chi phí và hợp đồng.</t>
  </si>
  <si>
    <t>Người phụ trách</t>
  </si>
  <si>
    <t>Đinh Xuân Quyền</t>
  </si>
  <si>
    <t>Tên theo thư mục bài; chưa có khách/pilot/partner xác nhận.</t>
  </si>
  <si>
    <t>Bài test người lạ</t>
  </si>
  <si>
    <t>Giá mẫu cũ không dùng trong bài. Nguồn áp dụng đã kiểm tra 08/10/2026 ở 6_Benchmarks!G:J.</t>
  </si>
  <si>
    <t>Đọc khối G:J tab 2: Hybrid khác Outcome. Chưa có eval, khách hàng hay pilot thực tế.</t>
  </si>
  <si>
    <t>GIẢ ĐỊNH VÀ CHI PHÍ eKYC</t>
  </si>
  <si>
    <t>1 lượt eKYC đạt và check-in tự động: CHECKED_IN + room_assigned; không HITL.</t>
  </si>
  <si>
    <t>Một arrival chỉ hoàn thành 1 lần; session mới/F5 không sinh check-in mới.</t>
  </si>
  <si>
    <t>Khách sạn chia platform</t>
  </si>
  <si>
    <t>Mục tiêu tương lai, chưa có khách trả tiền.</t>
  </si>
  <si>
    <t>A</t>
  </si>
  <si>
    <t>Hosting + DB toàn cohort / tháng ($)</t>
  </si>
  <si>
    <t>Giả định cố định, dùng chung một platform.</t>
  </si>
  <si>
    <t>Support / hotel / tháng ($)</t>
  </si>
  <si>
    <t>1.5 giờ x $4, không gồm onboarding.</t>
  </si>
  <si>
    <t>Connector PMS / hotel / tháng ($)</t>
  </si>
  <si>
    <t>$28.8/năm phân bổ, dùng cùng một PMS.</t>
  </si>
  <si>
    <t>OCR / ảnh ($)</t>
  </si>
  <si>
    <t>Google Vision Document Text Detection, không hưởng free tier.</t>
  </si>
  <si>
    <t>85% là giả định, chưa là eval. Auto-PASS có retry vẫn tính containment; STP khác.</t>
  </si>
  <si>
    <t>Ảnh giấy tờ / hồ sơ</t>
  </si>
  <si>
    <t>Hai mặt CCCD; passport tạm dự phòng 2 ảnh.</t>
  </si>
  <si>
    <t>Face API / ảnh phân tích ($)</t>
  </si>
  <si>
    <t>AWS Group1/2 bậc đầu, tham chiếu US.</t>
  </si>
  <si>
    <t>Số ảnh Face API tính phí / hồ sơ</t>
  </si>
  <si>
    <t>2 DetectFaces + 1 CompareFaces; không đếm thêm vì API có 2 ảnh đầu vào.</t>
  </si>
  <si>
    <t>Liveness / check ($)</t>
  </si>
  <si>
    <t>AWS US East (N. Virginia), giá tham chiếu công khai.</t>
  </si>
  <si>
    <t>Liveness check / hồ sơ</t>
  </si>
  <si>
    <t>Retry tính riêng.</t>
  </si>
  <si>
    <t>Không dùng LLM. Giá token =0 có lý do; eKYC tính theo ảnh/check ở G:H.</t>
  </si>
  <si>
    <t>OCR / job thử ($)</t>
  </si>
  <si>
    <t>OCR không chứng minh giấy tờ thật.</t>
  </si>
  <si>
    <t>Face matching + detection / job thử ($)</t>
  </si>
  <si>
    <t>Đối chiếu 1:1; không tạo face collection.</t>
  </si>
  <si>
    <t>Không áp dụng prompt cache; không tái sử dụng kết quả xác minh cũ.</t>
  </si>
  <si>
    <t>Liveness / job thử ($)</t>
  </si>
  <si>
    <t>Không đồng nghĩa tính hợp lệ của giấy tờ.</t>
  </si>
  <si>
    <t>Không có LLM cache.</t>
  </si>
  <si>
    <t>API eKYC tổng / job thử ($)</t>
  </si>
  <si>
    <t>OCR + Face API + liveness.</t>
  </si>
  <si>
    <t>Giữ 1 lượt kỹ thuật để công thức (turns-1) không âm; token đều 0.</t>
  </si>
  <si>
    <t>Retry eKYC / job thử ($)</t>
  </si>
  <si>
    <t>8% x 1 vòng đầy đủ; không thu thêm khách.</t>
  </si>
  <si>
    <t>Hosting / job thử ($)</t>
  </si>
  <si>
    <t>Chi phí cố định chia theo cohort và N.</t>
  </si>
  <si>
    <t>Storage + network / job thử ($)</t>
  </si>
  <si>
    <t>Ước lượng; không giữ video dài hạn.</t>
  </si>
  <si>
    <t>Logging + eval / job thử ($)</t>
  </si>
  <si>
    <t>Ước lượng, có regression eval phân bổ.</t>
  </si>
  <si>
    <t>Support / job thử ($)</t>
  </si>
  <si>
    <t>Chi phí tháng / N.</t>
  </si>
  <si>
    <t>Connector / job thử ($)</t>
  </si>
  <si>
    <t>Không gồm setup ban đầu.</t>
  </si>
  <si>
    <t>Infra tổng / job thử ($)</t>
  </si>
  <si>
    <t>Không gồm API eKYC và retry.</t>
  </si>
  <si>
    <t>API eKYC / tháng ($)</t>
  </si>
  <si>
    <t>Retry eKYC / tháng ($)</t>
  </si>
  <si>
    <t>Không Batch vì khách cần nhận phòng ngay.</t>
  </si>
  <si>
    <t>Infra / tháng ($)</t>
  </si>
  <si>
    <t>QA / tháng ($)</t>
  </si>
  <si>
    <t>COGS / tháng ($)</t>
  </si>
  <si>
    <t>API + retry + infra + QA + escalation nếu B; đối chiếu B62+B63.</t>
  </si>
  <si>
    <t>Overhead / tháng ($)</t>
  </si>
  <si>
    <t>Tách khỏi COGS.</t>
  </si>
  <si>
    <t>Không thoại: STT/TTS/telephony =0.</t>
  </si>
  <si>
    <t>Tổng có overhead / tháng ($)</t>
  </si>
  <si>
    <t>Phòng / khách sạn</t>
  </si>
  <si>
    <t>Ngách đề xuất, cần cùng PMS.</t>
  </si>
  <si>
    <t>Occupancy</t>
  </si>
  <si>
    <t>Giả định, không phải thống kê ngành.</t>
  </si>
  <si>
    <t>Ngày / tháng</t>
  </si>
  <si>
    <t>Tháng chuẩn.</t>
  </si>
  <si>
    <t>Số đêm / booking</t>
  </si>
  <si>
    <t>Giả định.</t>
  </si>
  <si>
    <t>Lượt đến tiềm năng / tháng</t>
  </si>
  <si>
    <t>eKYC + infra + retry eKYC / job thử ($)</t>
  </si>
  <si>
    <t>Khối G:H tách API, retry và infra; dùng B41 vàng để giữ công thức xám.</t>
  </si>
  <si>
    <t>Tỷ lệ vào kiosk</t>
  </si>
  <si>
    <t>83.33% giả định đạt N=1200.</t>
  </si>
  <si>
    <t>Phút công tiết kiệm / auto-PASS</t>
  </si>
  <si>
    <t>Giả định 12 phút thủ công còn 2 phút; phải đo thời gian công thực.</t>
  </si>
  <si>
    <t>Công lễ tân / giờ ($)</t>
  </si>
  <si>
    <t>Fully-loaded giả định, chưa khảo sát lương.</t>
  </si>
  <si>
    <t>Giá trị thời gian / tháng ($)</t>
  </si>
  <si>
    <t>Thời gian giải phóng, chưa chắc cắt giảm lương được.</t>
  </si>
  <si>
    <t>Phí nền / hotel / tháng ($)</t>
  </si>
  <si>
    <t>Dashboard, 1 PMS, giám sát, 1.5 giờ support/tháng.</t>
  </si>
  <si>
    <t>8% hồ sơ chạy lại 1 vòng eKYC đầy đủ; chi phí thực tại H19, không ở B47.</t>
  </si>
  <si>
    <t>Phí / hồ sơ đủ điều kiện ($)</t>
  </si>
  <si>
    <t>1 case tính từ lúc OCR; retry không thu thêm.</t>
  </si>
  <si>
    <t>Retry LLM/thoại / job (không sử dụng)</t>
  </si>
  <si>
    <t>Cap hồ sơ / hotel / tháng</t>
  </si>
  <si>
    <t>Đến cap dừng API/chuyển lễ tân, muốn tăng phải đổi gói.</t>
  </si>
  <si>
    <t>Tỷ lệ thu hồi giá trị tối đa</t>
  </si>
  <si>
    <t>Trần kế hoạch 25%, chưa xác thực willingness-to-pay.</t>
  </si>
  <si>
    <t>Phí onboarding ($)</t>
  </si>
  <si>
    <t>Một lần, chưa thu, không tính ARPU định kỳ.</t>
  </si>
  <si>
    <t>$4/giờ fully-loaded là giả định; kiểm chứng bằng phỏng vấn.</t>
  </si>
  <si>
    <t>COGS onboarding ($)</t>
  </si>
  <si>
    <t>10 giờ x $4 + $20 cấu hình + $20 kiểm tra.</t>
  </si>
  <si>
    <t>QA 3% hồ sơ, 2 phút/ca là giả định, không phải tỷ lệ lỗi.</t>
  </si>
  <si>
    <t>Lãi gộp onboarding ($)</t>
  </si>
  <si>
    <t>GM onboarding 20%, tách riêng.</t>
  </si>
  <si>
    <t>Lễ tân khách tự xử lý escalation; không tuyên bố thay toàn bộ vị trí.</t>
  </si>
  <si>
    <t>$300/tháng R&amp;D + Sales / 10 hotel; tách khỏi Gross Margin.</t>
  </si>
  <si>
    <t>26,000 là tỷ giá kế hoạch, không phải tỷ giá giao dịch hiện hành.</t>
  </si>
  <si>
    <t>eKYC + infra + retry eKYC</t>
  </si>
  <si>
    <t>PRICING HYBRID ÁP DỤNG</t>
  </si>
  <si>
    <t>Không gồm lượt miễn phí.</t>
  </si>
  <si>
    <t>Usage tính từ hồ sơ đầu.</t>
  </si>
  <si>
    <t>Hồ sơ đủ điều kiện / tháng</t>
  </si>
  <si>
    <t>Cap 1200, không đếm retry vào N.</t>
  </si>
  <si>
    <t>Doanh thu định kỳ / tháng ($)</t>
  </si>
  <si>
    <t>Không gồm setup/thiết bị/thuế.</t>
  </si>
  <si>
    <t>Job hoàn thành / tháng</t>
  </si>
  <si>
    <t>85% là giả định.</t>
  </si>
  <si>
    <t>Lãi gộp / tháng ($)</t>
  </si>
  <si>
    <t>GM Hybrid</t>
  </si>
  <si>
    <t>Đồng nhất B21 tại kịch bản hiện tại.</t>
  </si>
  <si>
    <t>Lãi sau overhead phân bổ ($)</t>
  </si>
  <si>
    <t>Không là lợi nhuận ròng công ty.</t>
  </si>
  <si>
    <t>Giá bán / giá trị thời gian</t>
  </si>
  <si>
    <t>Không cam kết giảm biên chế.</t>
  </si>
  <si>
    <t>Chi phí cố định / hotel / tháng ($)</t>
  </si>
  <si>
    <t>Hosting + support + connector.</t>
  </si>
  <si>
    <t>Chi phí biến đổi / hồ sơ ($)</t>
  </si>
  <si>
    <t>API + retry + storage/network + log/eval + QA.</t>
  </si>
  <si>
    <t>Kiểm tra COGS khớp (=0)</t>
  </si>
  <si>
    <t>Giá quy đổi / job hoàn thành (Hybrid)</t>
  </si>
  <si>
    <t>Hóa đơn = $30 + $0.11 x hồ sơ xử lý đủ điều kiện; xem H8.</t>
  </si>
  <si>
    <t>Hồ sơ tối thiểu cho GM&gt;=60%</t>
  </si>
  <si>
    <t>Chỉ dùng nếu H21&gt;0, làm tròn lên ở H22.</t>
  </si>
  <si>
    <t>Đóng góp đạt GM mục tiêu / hồ sơ</t>
  </si>
  <si>
    <t>Phải &gt;0, nếu không giá cần tính lại.</t>
  </si>
  <si>
    <t>Ngưỡng hồ sơ nguyên / tháng</t>
  </si>
  <si>
    <t>Containment tài chính, N cố định</t>
  </si>
  <si>
    <t>Không có ngưỡng riêng</t>
  </si>
  <si>
    <t>Với Hybrid + HITL A, doanh thu và COGS không đổi theo c.</t>
  </si>
  <si>
    <t>Containment để giá &lt;=25% giá trị</t>
  </si>
  <si>
    <t>81%, là ngưỡng ROI khách, không phải GM.</t>
  </si>
  <si>
    <t>Containment mục tiêu</t>
  </si>
  <si>
    <t>Chưa có eval chứng minh.</t>
  </si>
  <si>
    <t>THAM CHIẾU OUTCOME — KHÔNG PHẢI NGƯỠNG HYBRID</t>
  </si>
  <si>
    <t>Cohort 2 hotel: COGS/hotel ($)</t>
  </si>
  <si>
    <t>Giữ N=1200 để tách ảnh hưởng cohort; pilot volume thấp sẽ còn kém.</t>
  </si>
  <si>
    <t>Cohort 2 hotel: GM</t>
  </si>
  <si>
    <t>Chưa đạt 60%; pilot là ngân sách học.</t>
  </si>
  <si>
    <t>Cohort tối thiểu cho GM&gt;=60%</t>
  </si>
  <si>
    <t>4 hotel nếu mỗi hotel đạt N=1200.</t>
  </si>
  <si>
    <t>Trần doanh thu từ 25% giá trị ($)</t>
  </si>
  <si>
    <t>Chưa là giá khách sẵn lòng trả.</t>
  </si>
  <si>
    <t>Sàn doanh thu (=3 x COGS) ($)</t>
  </si>
  <si>
    <t>Containment tham chiếu nếu giá/job cố định</t>
  </si>
  <si>
    <t>Chỉ xét khi chuyển sang Outcome; không dùng kết luận B35 cho Hybrid.</t>
  </si>
  <si>
    <t>Vùng giá cơ sở</t>
  </si>
  <si>
    <t>$153.648-$170, chọn $162.</t>
  </si>
  <si>
    <t>Kết luận riêng kịch bản Outcome tham chiếu</t>
  </si>
  <si>
    <t>Hệ số tăng toàn bộ giá API</t>
  </si>
  <si>
    <t>Đổi thành 2 để stress.</t>
  </si>
  <si>
    <t>COGS sau stress API ($)</t>
  </si>
  <si>
    <t>Không stress infra trong phép thử này.</t>
  </si>
  <si>
    <t>SENSITIVITY OUTCOME THAM CHIẾU — HYBRID XEM G:H</t>
  </si>
  <si>
    <t>GM sau stress API</t>
  </si>
  <si>
    <t>Ngân sách học pilot 90 ngày ($)</t>
  </si>
  <si>
    <t>Trần kế hoạch, chưa chi.</t>
  </si>
  <si>
    <t>Tham chiếu Outcome: c tại GM50%</t>
  </si>
  <si>
    <t>Không là ngưỡng mất tiền Hybrid.</t>
  </si>
  <si>
    <t>HYBRID: THAY CONTAINMENT, GIỮ N VÀ COHORT</t>
  </si>
  <si>
    <t>Cost/job ($)</t>
  </si>
  <si>
    <t>Giá trị công ($)</t>
  </si>
  <si>
    <t>Hybrid giữ N cố định: GM không đổi theo containment ở HITL A. Chất lượng vẫn quyết định giá trị khách nhận.</t>
  </si>
  <si>
    <t>Hệ số giá API khiến GM = 50%</t>
  </si>
  <si>
    <t>Giữ N=1200, cohort10, HITL A; lớn hơn ngưỡng này thì GM dưới 50%.</t>
  </si>
  <si>
    <t>Support / hotel / tháng khiến GM = 50% ($)</t>
  </si>
  <si>
    <t>Thay riêng support, giữ các chi phí khác.</t>
  </si>
  <si>
    <t>CƠ SỞ CHẤM VÀ QUY TẮC TÍNH TIỀN</t>
  </si>
  <si>
    <t>Attribution</t>
  </si>
  <si>
    <t>0,0,0,1,2</t>
  </si>
  <si>
    <t>Chưa có log/eval/buyer approval; có thiết kế attribution và định nghĩa job.</t>
  </si>
  <si>
    <t>Autonomy</t>
  </si>
  <si>
    <t>1,0,1,0,0</t>
  </si>
  <si>
    <t>Luồng tự động/handoff mới là thiết kế, chưa chứng minh vận hành.</t>
  </si>
  <si>
    <t>Tính tiền khi</t>
  </si>
  <si>
    <t>Booking hợp lệ, bắt đầu OCR</t>
  </si>
  <si>
    <t>Một case theo hotel_id + booking_id + arrival_id.</t>
  </si>
  <si>
    <t>Không tính tiền</t>
  </si>
  <si>
    <t>Sai booking, bỏ trước API, duplicate</t>
  </si>
  <si>
    <t>Retry cùng case không thu thêm.</t>
  </si>
  <si>
    <t>Ca eKYC thất bại</t>
  </si>
  <si>
    <t>Có usage nếu API đã xử lý</t>
  </si>
  <si>
    <t>Chuyển lễ tân; không cam kết outcome, khách biết trước quy tắc.</t>
  </si>
  <si>
    <t>Tranh chấp</t>
  </si>
  <si>
    <t>Xuất case ledger, refund ghi trùng</t>
  </si>
  <si>
    <t>Cần started_at và idempotency key; chưa có hợp đồng thực.</t>
  </si>
  <si>
    <t>Phí nền mua gì</t>
  </si>
  <si>
    <t>Dashboard, 1 PMS, giám sát, support</t>
  </si>
  <si>
    <t>1.5 giờ support/hotel/tháng, chưa SLA 24/7.</t>
  </si>
  <si>
    <t>Điều kiện thử Outcome</t>
  </si>
  <si>
    <t>Có eval và buyer approval</t>
  </si>
  <si>
    <t>Chỉ sau pilot có số đo và định nghĩa outcome được thống nhất.</t>
  </si>
  <si>
    <t>Giới hạn Chekin</t>
  </si>
  <si>
    <t>Giá từ cấu hình property mặc định</t>
  </si>
  <si>
    <t>Giới hạn Duve</t>
  </si>
  <si>
    <t>Gói Basic chưa là eKYC kiosk trọn gói</t>
  </si>
  <si>
    <t>Automation và một số tính năng có phụ phí.</t>
  </si>
  <si>
    <t>Ngày kiểm tra nguồn</t>
  </si>
  <si>
    <t>08/10/2026</t>
  </si>
  <si>
    <t>Benchmark đơn vị tính tiền, không lấy làm giá trần.</t>
  </si>
  <si>
    <t>Chekin</t>
  </si>
  <si>
    <t>Subscription/property</t>
  </si>
  <si>
    <t>https://chekin.com/en/pricing/</t>
  </si>
  <si>
    <t>Duve</t>
  </si>
  <si>
    <t>Subscription theo gói</t>
  </si>
  <si>
    <t>Basic tối thiểu $120/tháng; automation có phụ phí</t>
  </si>
  <si>
    <t>https://duve.com/pricing/</t>
  </si>
  <si>
    <t>Hybrid</t>
  </si>
  <si>
    <t>Khớp gợi ý; chưa có eval hay khách chấp thuận outcome.</t>
  </si>
  <si>
    <t>Chọn phí nền $30/khách sạn/tháng + $0.11/hồ sơ eKYC đủ điều kiện, cap 1200 hồ sơ/tháng.</t>
  </si>
  <si>
    <t>Attribution 3/10, Autonomy 2/10: mới có thiết kế event và luồng tự động; chưa có audit log hoặc kết quả eval.</t>
  </si>
  <si>
    <t>Không đạt GM khi ít khách chia hosting, volume thấp, API/support tăng. Retry không được tính thêm cho khách.</t>
  </si>
  <si>
    <t>KIỂM CHỨNG SALES-LED</t>
  </si>
  <si>
    <t>Motion</t>
  </si>
  <si>
    <t>Founder-led Sales-Led</t>
  </si>
  <si>
    <t>Đúng 1 kênh trong 90 ngày.</t>
  </si>
  <si>
    <t>Người bán</t>
  </si>
  <si>
    <t>Chưa có đội sales.</t>
  </si>
  <si>
    <t>SMB</t>
  </si>
  <si>
    <t>Tìm hiểu / opportunity ($)</t>
  </si>
  <si>
    <t>6 giờ x $4.</t>
  </si>
  <si>
    <t>Demo / opportunity ($)</t>
  </si>
  <si>
    <t>4 giờ x $4.</t>
  </si>
  <si>
    <t>Đi lại / opportunity ($)</t>
  </si>
  <si>
    <t>Gom khách cùng địa bàn.</t>
  </si>
  <si>
    <t>Công cụ / opportunity ($)</t>
  </si>
  <si>
    <t>CRM/email/call phân bổ.</t>
  </si>
  <si>
    <t>CPO tính lại ($)</t>
  </si>
  <si>
    <t>Khớp B20, chưa phải số đo.</t>
  </si>
  <si>
    <t>Payback CAC giả định (tháng)</t>
  </si>
  <si>
    <t>Không chứng minh retention hoặc LTV.</t>
  </si>
  <si>
    <t>Quota $60k/năm là giả định motion nhỏ tại VN; không dùng mặc định $500k.</t>
  </si>
  <si>
    <t>CPO tối đa theo ngân sách CAC ($)</t>
  </si>
  <si>
    <t>Với win rate 25%.</t>
  </si>
  <si>
    <t>Win rate tối thiểu với CPO này</t>
  </si>
  <si>
    <t>Cần kiểm chứng bằng funnel thật.</t>
  </si>
  <si>
    <t>Loaded AE / năm ($)</t>
  </si>
  <si>
    <t>Giả định, chưa tuyển.</t>
  </si>
  <si>
    <t>Deal/năm đạt quota</t>
  </si>
  <si>
    <t>Chi phí AE/deal nếu đạt quota ($)</t>
  </si>
  <si>
    <t>Chưa travel/marketing; phép kiểm tra riêng không cộng trùng CAC founder.</t>
  </si>
  <si>
    <t>Chưa tuyển AE vì</t>
  </si>
  <si>
    <t>Thiếu bằng chứng sales và ngân sách</t>
  </si>
  <si>
    <t>Chỉ tuyển sau khi đo conversion, support, churn.</t>
  </si>
  <si>
    <t>CPO giả định: $24 prospect + $16 demo + $20 đi lại + $20 công cụ.</t>
  </si>
  <si>
    <t>Prospect 90 ngày</t>
  </si>
  <si>
    <t>Mục tiêu, không phải khách hiện có.</t>
  </si>
  <si>
    <t>Qualified opportunities</t>
  </si>
  <si>
    <t>10% prospect, giả định.</t>
  </si>
  <si>
    <t>Khách trả phí ngày 90</t>
  </si>
  <si>
    <t>25% opportunity, bao gồm pilot chuyển trả phí.</t>
  </si>
  <si>
    <t>Ngân sách acquisition 90 ngày ($)</t>
  </si>
  <si>
    <t>Gồm giá trị thời gian founder.</t>
  </si>
  <si>
    <t>CAC từ kế hoạch ($)</t>
  </si>
  <si>
    <t>Khớp B22, chưa đo.</t>
  </si>
  <si>
    <t>Quan hệ hiện tại</t>
  </si>
  <si>
    <t>Chưa có khách/pilot/partner xác nhận</t>
  </si>
  <si>
    <t>Không bịa tên công ty hoặc trạng thái liên hệ.</t>
  </si>
  <si>
    <t>Không áp dụng</t>
  </si>
  <si>
    <t>Chưa</t>
  </si>
  <si>
    <t>Chưa có partner; không dùng Partner-Led trong 90 ngày.</t>
  </si>
  <si>
    <t>Founder trực tiếp discovery/demo/chốt pilot trong một ngách PMS, chưa tuyển sales rep.</t>
  </si>
  <si>
    <t>GATE CHUYỂN SANG VẬN HÀNH</t>
  </si>
  <si>
    <t>14:00-16:00 ngày nhiều khách đến, giả thuyết cần phỏng vấn.</t>
  </si>
  <si>
    <t>Đã biết</t>
  </si>
  <si>
    <t>Thiết kế job và event bài trước</t>
  </si>
  <si>
    <t>Không có xác nhận code/log/eval đã chạy.</t>
  </si>
  <si>
    <t>Khách đã có booking chờ nhập giấy tờ, xác thực và gán phòng tại lễ tân.</t>
  </si>
  <si>
    <t>Eval 200 hợp lệ</t>
  </si>
  <si>
    <t>CCCD/passport, ánh sáng, tuổi đa dạng</t>
  </si>
  <si>
    <t>Ghi Wilson CI; 200 ca không chứng minh tỷ lệ lỗi hiếm.</t>
  </si>
  <si>
    <t>Quầy lễ tân + PMS khách sạn; khách giữ mã/QR booking trên điện thoại.</t>
  </si>
  <si>
    <t>Eval 100 lỗi/attack</t>
  </si>
  <si>
    <t>Sai người, ảnh in, replay, ảnh mờ</t>
  </si>
  <si>
    <t>0 false accept trong tập test không có nghĩa 0 rủi ro thực.</t>
  </si>
  <si>
    <t>Auto-PASS / tất cả phiên đủ điều kiện</t>
  </si>
  <si>
    <t>Gồm bỏ dở sau bắt đầu API; retry không tăng mẫu số.</t>
  </si>
  <si>
    <t>NSM</t>
  </si>
  <si>
    <t>Số arrival hoàn tất tự động/tháng</t>
  </si>
  <si>
    <t>Không phải tỷ lệ, dedupe theo case_id.</t>
  </si>
  <si>
    <t>Activation</t>
  </si>
  <si>
    <t>room_assigned trong &lt;=3 phút</t>
  </si>
  <si>
    <t>Khác containment; chưa có số đo latency.</t>
  </si>
  <si>
    <t>STP</t>
  </si>
  <si>
    <t>Hoàn tất không retry / phiên bắt đầu</t>
  </si>
  <si>
    <t>Auto-PASS có retry không là STP.</t>
  </si>
  <si>
    <t>Sales-Led, founder trực tiếp</t>
  </si>
  <si>
    <t>Cùng Sales-Led, không thêm kênh</t>
  </si>
  <si>
    <t>Giữ Sales-Led, chỉ mở ngách sau gate</t>
  </si>
  <si>
    <t>Retry chi phí</t>
  </si>
  <si>
    <t>Extra billed API / initial API cost</t>
  </si>
  <si>
    <t>8% x1 vòng đầy đủ chỉ là dự phòng, phải đo từng API.</t>
  </si>
  <si>
    <t>10 interviews, 2 hotel đồng ý pilot</t>
  </si>
  <si>
    <t>5 khách trả phí lũy kế ngày 90</t>
  </si>
  <si>
    <t>10 khách trả phí sau ngày 90, chưa đạt</t>
  </si>
  <si>
    <t>False accept</t>
  </si>
  <si>
    <t>Không Auto-PASS attack đã biết</t>
  </si>
  <si>
    <t>Không hạ ngưỡng xác thực để containment đẹp.</t>
  </si>
  <si>
    <t>08/11/2026-06/01/2027: 200 prospect -&gt; 20 qualified opportunities</t>
  </si>
  <si>
    <t>Kiểm tra economics theo hóa đơn cohort&gt;=4, không dùng cohort10 để kết luận pilot</t>
  </si>
  <si>
    <t>PMS, thiết bị, owner, dữ liệu rõ ràng</t>
  </si>
  <si>
    <t>Chưa có tên hotel: không ghi đã ký/chạy.</t>
  </si>
  <si>
    <t>Eval 200 ca hợp lệ + 100 ca lỗi/tấn công; chưa có dữ liệu thật</t>
  </si>
  <si>
    <t>2 hotel x &gt;=200 phiên; báo cáo containment, retry, p50/p95</t>
  </si>
  <si>
    <t>Chỉ mở hotel cùng PMS; chưa mở PMS mới khi connector/QA chưa ổn</t>
  </si>
  <si>
    <t>Lịch kế hoạch</t>
  </si>
  <si>
    <t>09/10/2026-06/01/2027</t>
  </si>
  <si>
    <t>90 ngày; không phải lịch đã được khách chấp thuận.</t>
  </si>
  <si>
    <t>Đo công lễ tân trước/sau, usage ledger, phê duyệt giá</t>
  </si>
  <si>
    <t>Nếu support&gt;1.5 giờ/hotel/tháng, phải tính lại phí nền</t>
  </si>
  <si>
    <t>Ngân sách học</t>
  </si>
  <si>
    <t>$500 kế hoạch, chưa chi</t>
  </si>
  <si>
    <t>Dừng/đánh giá lại nếu vượt budget hoặc false accept nghiêm trọng.</t>
  </si>
  <si>
    <t>10 interviews; eval hoàn tất; 2 pilot có chấp thuận</t>
  </si>
  <si>
    <t>Mục tiêu containment&gt;=85%, p95&lt;=3 phút; 5 paid; CAC trong ngân sách</t>
  </si>
  <si>
    <t>GM&gt;=60% trong 2 tháng; không auto-PASS attack đã biết; đo retention</t>
  </si>
  <si>
    <t>Test người lạ</t>
  </si>
  <si>
    <t>Đinh Xuân Quyền; phía hotel chưa xác nhận</t>
  </si>
  <si>
    <t>Eval 300 ca: containment, false accept/reject, OCR exact match, retry và p95.</t>
  </si>
  <si>
    <t>Đinh Xuân Quyền · 22/10/2026</t>
  </si>
  <si>
    <t>Q&amp;A về nhận nhầm/giả mạo, dữ liệu, xuất/xóa dữ liệu; xác nhận cấu hình trước pilot.</t>
  </si>
  <si>
    <t>Đinh Xuân Quyền · 29/10/2026</t>
  </si>
  <si>
    <t>Protocol 2 hotel x &gt;=200 phiên; chưa có tên hotel hay kết quả thực.</t>
  </si>
  <si>
    <t>Đinh Xuân Quyền · 06/01/2027</t>
  </si>
  <si>
    <t>A:E là giá mẫu lịch sử, không dùng. SmartCheck-in dùng nguồn G:J, kiểm tra 08/10/2026.</t>
  </si>
  <si>
    <t>NGUỒN ÁP DỤNG TRONG BÀI</t>
  </si>
  <si>
    <t>Mức áp dụng</t>
  </si>
  <si>
    <t>Nguồn chính thức</t>
  </si>
  <si>
    <t>Giới hạn</t>
  </si>
  <si>
    <t>Google Vision OCR</t>
  </si>
  <si>
    <t>$1.50 / 1000 ảnh</t>
  </si>
  <si>
    <t>https://cloud.google.com/vision/pricing</t>
  </si>
  <si>
    <t>Document Text Detection, không trừ free tier.</t>
  </si>
  <si>
    <t>OCR tiếng Việt</t>
  </si>
  <si>
    <t>vi được hỗ trợ</t>
  </si>
  <si>
    <t>https://docs.cloud.google.com/vision/docs/languages</t>
  </si>
  <si>
    <t>Không tự đảm bảo chính xác CCCD.</t>
  </si>
  <si>
    <t>AWS Group1/2</t>
  </si>
  <si>
    <t>$0.001 / ảnh bậc đầu</t>
  </si>
  <si>
    <t>https://aws.amazon.com/rekognition/pricing/</t>
  </si>
  <si>
    <t>CompareFaces nhóm1, DetectFaces nhóm2; tham chiếu US.</t>
  </si>
  <si>
    <t>AWS Liveness</t>
  </si>
  <si>
    <t>$0.015 / check</t>
  </si>
  <si>
    <t>US East N.Virginia, 500k đầu; region thực chưa chốt.</t>
  </si>
  <si>
    <t>Duve Basic</t>
  </si>
  <si>
    <t>Tối thiểu $120/tháng</t>
  </si>
  <si>
    <t>Online check-in/guest app; automation có phụ phí.</t>
  </si>
  <si>
    <t>FX kế hoạch</t>
  </si>
  <si>
    <t>26000 VND/USD</t>
  </si>
  <si>
    <t>Giả định nội bộ 08/10/2026</t>
  </si>
  <si>
    <t>Không phải tỷ giá giao dịch hiện hành.</t>
  </si>
  <si>
    <t>CAC/lương/hosting</t>
  </si>
  <si>
    <t>Giả định kế hoạch</t>
  </si>
  <si>
    <t>README.md và các ô G:H</t>
  </si>
  <si>
    <t>Không là benchmark thị trường Việt Nam.</t>
  </si>
  <si>
    <t>Ngày kiểm tra</t>
  </si>
  <si>
    <t>Trang giá chính thức ở trên</t>
  </si>
  <si>
    <t>Không dùng free tier hoặc giá khuyến mại.</t>
  </si>
  <si>
    <t>GM&gt;=60%: &gt;=181 hồ sơ; giá&gt;=3xCOGS: &gt;=735 hồ sơ/tháng, cohort 10. Xem tab2 H56:H60.</t>
  </si>
  <si>
    <t>PMS dự kiến: Mews Connector API</t>
  </si>
  <si>
    <t>Chưa có quyền API/hotel dùng Mews xác nhận; xem PMS_Integration.md.</t>
  </si>
  <si>
    <t>Chỉ ngưỡng GM60%; ngưỡng đồng thời giá&gt;=3xCost/Job ở H60.</t>
  </si>
  <si>
    <t>Containment tham chiếu Outcome</t>
  </si>
  <si>
    <t>NGƯỠNG GIÁ &gt;= 3 x COGS</t>
  </si>
  <si>
    <t>Đóng góp đáp ứng hệ số giá / hồ sơ</t>
  </si>
  <si>
    <t>Phí usage trừ hệ số an toàn x chi phí biến đổi.</t>
  </si>
  <si>
    <t>Hồ sơ tối thiểu theo hệ số giá</t>
  </si>
  <si>
    <t>Giải 30+0.11N &gt;=3(14.4+0.03068N), HITL A.</t>
  </si>
  <si>
    <t>Ngưỡng hồ sơ nguyên theo hệ số giá</t>
  </si>
  <si>
    <t>735 hồ sơ/tháng ở cohort10; khác ngưỡng GM60% 181.</t>
  </si>
  <si>
    <t>Hồ sơ tối thiểu đạt cả hai điều kiện</t>
  </si>
  <si>
    <t>GM&gt;=60% và doanh thu&gt;=3xCOGS; chưa xét ROI khách.</t>
  </si>
  <si>
    <t>Đối chiếu volume hiện tại</t>
  </si>
  <si>
    <t>1,200 hồ sơ là giả định, không phải kết quả pilot.</t>
  </si>
  <si>
    <t>Điều kiện giá trị khách tại N hiện tại</t>
  </si>
  <si>
    <t>Containment&gt;=81% ở N=1200; ngưỡng ROI, không phải GM.</t>
  </si>
  <si>
    <t>Mức từ €3.95/property/tháng theo thanh toán năm; không là giá hotel/kiosk.</t>
  </si>
  <si>
    <t>Từ €3.95/property/tháng, thanh toán năm; hotel cần cấu hình/báo giá</t>
  </si>
  <si>
    <t>Web kiosk /check-in/booking tại sảnh -&gt; eKYC -&gt; Mews Connector API reservations/start -&gt; xác nhận Started và AssignedResourceId. PMS dự kiến, chưa có quyền API.</t>
  </si>
  <si>
    <t>09/10-07/11/2026: 10 phỏng vấn; xác minh hotel dùng Mews, quyền demo/production, điều kiện phòng sẵn sàng.</t>
  </si>
  <si>
    <t>Chốt dữ liệu, quyền API, chi phí connector và protocol trước pilot; hotel có thiết bị và phòng gán sẵn.</t>
  </si>
  <si>
    <t>ĐỐI CHIẾU EVAL THỰC TẾ</t>
  </si>
  <si>
    <t>Case auto-PASS thực đo</t>
  </si>
  <si>
    <t>Chưa đo</t>
  </si>
  <si>
    <t>Chỉ điền số nguyên từ log; chưa có dữ liệu eval.</t>
  </si>
  <si>
    <t>Case đủ điều kiện thực đo</t>
  </si>
  <si>
    <t>Cùng tập dữ liệu; gồm bỏ dở/PMS lỗi sau bắt đầu API.</t>
  </si>
  <si>
    <t>Containment thực đo</t>
  </si>
  <si>
    <t>Không thay 85% giả định bằng kết quả chưa chạy.</t>
  </si>
  <si>
    <t>So với ngưỡng giá trị khách</t>
  </si>
  <si>
    <t>Đối chiếu tham khảo với economics N hiện tại; không là quyết định release.</t>
  </si>
  <si>
    <t>Hạn hoàn thành eval</t>
  </si>
  <si>
    <t>22/10/2026</t>
  </si>
  <si>
    <t>Đinh Xuân Quyền; xem Evidence_Pack.md và Eval_Protocol.csv.</t>
  </si>
  <si>
    <t>PMS dự kiến</t>
  </si>
  <si>
    <t>Mews Connector API</t>
  </si>
  <si>
    <t>Mới xác minh tài liệu; chưa gọi API, chưa có hotel chấp thuận.</t>
  </si>
  <si>
    <t>Hạn xác minh quyền và chi phí PMS</t>
  </si>
  <si>
    <t>Owner: Đinh Xuân Quyền; chưa đăng ký/liên hệ, chưa có báo giá.</t>
  </si>
  <si>
    <t>Từ €3.95/property/tháng (năm)</t>
  </si>
  <si>
    <t>Mức từ theo thanh toán năm; vacation rental, hotel cần báo giá.</t>
  </si>
  <si>
    <t>Đã thực hiện - Đạt</t>
  </si>
  <si>
    <t>12:10 ngày 08/10/2026; Đỗ Trường Thành Ân: đủ 3 ý, hỏi lại 2 câu. Theo biên bản người học cung cấp.</t>
  </si>
  <si>
    <t>Đã test với Đỗ Trường Thành Ân</t>
  </si>
  <si>
    <t>12:10 08/10/2026; đọc 2 phút theo quy trình người học cung cấp, đủ 3 ý; 2 câu hỏi lại.</t>
  </si>
  <si>
    <t>Đạt: đủ 3 ý, hỏi lại 2 câu</t>
  </si>
  <si>
    <t>12:10 08/10/2026. Kết quả theo người học xác nhận; xem Test_Nguoi_La.md.</t>
  </si>
  <si>
    <t>Được</t>
  </si>
  <si>
    <t>Khách sạn trả tiền; $30/tháng + $0.11/hồ sơ đủ điều kiện; retry/duplicate không thu thêm.</t>
  </si>
  <si>
    <t>Nêu doanh thu $162, COGS $51.216, GM68.39%; hiểu đây là giả định cohort10, chưa là pilot.</t>
  </si>
  <si>
    <t>Sales-Led vì cần trao đổi buyer và tích hợp PMS; CAC$320 so ngân sách$1,329.41, chưa đo.</t>
  </si>
  <si>
    <t>Ân - 2A202602899; 12:10 08/10/2026; theo quy trình đọc2 phút. Biên bản: Test_Nguoi_La.md.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</si>
</sst>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  <numFmt numFmtId="171" formatCode="dd/mm/yyyy"/>
    <numFmt numFmtId="172" formatCode="\$0.0000"/>
    <numFmt numFmtId="173" formatCode="0.0&quot;x&quot;"/>
    <numFmt numFmtId="174" formatCode="\$0.00"/>
    <numFmt numFmtId="175" formatCode="0.0000&quot;x&quot;"/>
    <numFmt numFmtId="176" formatCode="&quot;$&quot;0.00000"/>
    <numFmt numFmtId="177" formatCode="0.000000"/>
  </numFmts>
  <fonts count="15" x14ac:knownFonts="1">
    <font>
      <sz val="11"/>
      <color theme="1"/>
      <name val="Calibri"/>
    </font>
    <font>
      <b/>
      <sz val="14"/>
      <color rgb="FFFFFFFF"/>
      <name val="Arial"/>
    </font>
    <font>
      <i/>
      <sz val="9"/>
      <color rgb="FF666666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8000"/>
      <name val="Arial"/>
    </font>
    <font>
      <b/>
      <sz val="10"/>
      <color theme="1"/>
      <name val="Arial"/>
    </font>
    <font>
      <b/>
      <sz val="10"/>
      <color rgb="FFFFFFFF"/>
      <name val="Arial"/>
    </font>
    <font>
      <sz val="11"/>
      <color theme="1"/>
      <name val="Arial"/>
    </font>
    <font>
      <b/>
      <sz val="10"/>
      <color rgb="FF1F2937"/>
      <name val="Arial"/>
    </font>
    <font>
      <i/>
      <sz val="10"/>
      <color rgb="FF666666"/>
      <name val="Arial"/>
    </font>
    <font>
      <sz val="10"/>
      <color rgb="FF000000"/>
      <name val="Arial"/>
    </font>
    <font>
      <b/>
      <sz val="10"/>
      <color rgb="FFC00000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2CC"/>
      </patternFill>
    </fill>
    <fill>
      <patternFill patternType="solid">
        <fgColor rgb="FFE8EAF6"/>
      </patternFill>
    </fill>
    <fill>
      <patternFill patternType="solid">
        <fgColor rgb="FFF2F2F2"/>
      </patternFill>
    </fill>
    <fill>
      <patternFill patternType="solid">
        <fgColor rgb="FFEDEDED"/>
      </patternFill>
    </fill>
    <fill>
      <patternFill patternType="solid">
        <fgColor rgb="FF1F293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F291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8" fillId="2" borderId="1" xfId="0" applyFont="1" applyFill="1" applyBorder="1"/>
    <xf numFmtId="0" fontId="8" fillId="0" borderId="0" xfId="0" applyFont="1"/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3" fontId="3" fillId="3" borderId="2" xfId="0" applyNumberFormat="1" applyFont="1" applyFill="1" applyBorder="1" applyAlignment="1">
      <alignment vertical="center" wrapText="1"/>
    </xf>
    <xf numFmtId="164" fontId="3" fillId="3" borderId="2" xfId="0" applyNumberFormat="1" applyFont="1" applyFill="1" applyBorder="1" applyAlignment="1">
      <alignment vertical="center" wrapText="1"/>
    </xf>
    <xf numFmtId="3" fontId="4" fillId="5" borderId="2" xfId="0" applyNumberFormat="1" applyFont="1" applyFill="1" applyBorder="1" applyAlignment="1">
      <alignment vertical="center" wrapText="1"/>
    </xf>
    <xf numFmtId="167" fontId="3" fillId="3" borderId="2" xfId="0" applyNumberFormat="1" applyFont="1" applyFill="1" applyBorder="1" applyAlignment="1">
      <alignment vertical="center" wrapText="1"/>
    </xf>
    <xf numFmtId="0" fontId="11" fillId="9" borderId="0" xfId="0" applyFont="1" applyFill="1" applyAlignment="1">
      <alignment vertical="center" wrapText="1"/>
    </xf>
    <xf numFmtId="165" fontId="4" fillId="5" borderId="2" xfId="0" applyNumberFormat="1" applyFont="1" applyFill="1" applyBorder="1" applyAlignment="1">
      <alignment vertical="center" wrapText="1"/>
    </xf>
    <xf numFmtId="165" fontId="12" fillId="5" borderId="2" xfId="0" applyNumberFormat="1" applyFont="1" applyFill="1" applyBorder="1" applyAlignment="1">
      <alignment vertical="center" wrapText="1"/>
    </xf>
    <xf numFmtId="164" fontId="4" fillId="5" borderId="2" xfId="0" applyNumberFormat="1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165" fontId="3" fillId="3" borderId="2" xfId="0" applyNumberFormat="1" applyFont="1" applyFill="1" applyBorder="1" applyAlignment="1">
      <alignment vertical="center" wrapText="1"/>
    </xf>
    <xf numFmtId="166" fontId="3" fillId="3" borderId="2" xfId="0" applyNumberFormat="1" applyFont="1" applyFill="1" applyBorder="1" applyAlignment="1">
      <alignment vertical="center" wrapText="1"/>
    </xf>
    <xf numFmtId="167" fontId="4" fillId="5" borderId="2" xfId="0" applyNumberFormat="1" applyFont="1" applyFill="1" applyBorder="1" applyAlignment="1">
      <alignment vertical="center" wrapText="1"/>
    </xf>
    <xf numFmtId="167" fontId="12" fillId="5" borderId="2" xfId="0" applyNumberFormat="1" applyFont="1" applyFill="1" applyBorder="1" applyAlignment="1">
      <alignment vertical="center" wrapText="1"/>
    </xf>
    <xf numFmtId="170" fontId="4" fillId="5" borderId="2" xfId="0" applyNumberFormat="1" applyFont="1" applyFill="1" applyBorder="1" applyAlignment="1">
      <alignment vertical="center" wrapText="1"/>
    </xf>
    <xf numFmtId="165" fontId="5" fillId="5" borderId="2" xfId="0" applyNumberFormat="1" applyFont="1" applyFill="1" applyBorder="1" applyAlignment="1">
      <alignment vertical="center" wrapText="1"/>
    </xf>
    <xf numFmtId="168" fontId="3" fillId="3" borderId="2" xfId="0" applyNumberFormat="1" applyFont="1" applyFill="1" applyBorder="1" applyAlignment="1">
      <alignment vertical="center" wrapText="1"/>
    </xf>
    <xf numFmtId="169" fontId="4" fillId="5" borderId="2" xfId="0" applyNumberFormat="1" applyFont="1" applyFill="1" applyBorder="1" applyAlignment="1">
      <alignment vertical="center" wrapText="1"/>
    </xf>
    <xf numFmtId="164" fontId="12" fillId="5" borderId="2" xfId="0" applyNumberFormat="1" applyFont="1" applyFill="1" applyBorder="1" applyAlignment="1">
      <alignment vertical="center" wrapText="1"/>
    </xf>
    <xf numFmtId="164" fontId="5" fillId="5" borderId="2" xfId="0" applyNumberFormat="1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164" fontId="4" fillId="6" borderId="2" xfId="0" applyNumberFormat="1" applyFont="1" applyFill="1" applyBorder="1" applyAlignment="1">
      <alignment vertical="center" wrapText="1"/>
    </xf>
    <xf numFmtId="3" fontId="12" fillId="5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 wrapText="1"/>
    </xf>
    <xf numFmtId="168" fontId="12" fillId="5" borderId="2" xfId="0" applyNumberFormat="1" applyFont="1" applyFill="1" applyBorder="1" applyAlignment="1">
      <alignment vertical="center" wrapText="1"/>
    </xf>
    <xf numFmtId="168" fontId="4" fillId="5" borderId="2" xfId="0" applyNumberFormat="1" applyFont="1" applyFill="1" applyBorder="1" applyAlignment="1">
      <alignment vertical="center" wrapText="1"/>
    </xf>
    <xf numFmtId="4" fontId="12" fillId="5" borderId="2" xfId="0" applyNumberFormat="1" applyFont="1" applyFill="1" applyBorder="1" applyAlignment="1">
      <alignment vertical="center" wrapText="1"/>
    </xf>
    <xf numFmtId="169" fontId="12" fillId="5" borderId="2" xfId="0" applyNumberFormat="1" applyFont="1" applyFill="1" applyBorder="1" applyAlignment="1">
      <alignment vertical="center" wrapText="1"/>
    </xf>
    <xf numFmtId="171" fontId="3" fillId="3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172" fontId="3" fillId="8" borderId="0" xfId="0" applyNumberFormat="1" applyFont="1" applyFill="1" applyAlignment="1">
      <alignment vertical="center" wrapText="1"/>
    </xf>
    <xf numFmtId="172" fontId="11" fillId="9" borderId="0" xfId="0" applyNumberFormat="1" applyFont="1" applyFill="1" applyAlignment="1">
      <alignment vertical="center" wrapText="1"/>
    </xf>
    <xf numFmtId="172" fontId="4" fillId="0" borderId="0" xfId="0" applyNumberFormat="1" applyFont="1" applyAlignment="1">
      <alignment vertical="center" wrapText="1"/>
    </xf>
    <xf numFmtId="172" fontId="11" fillId="9" borderId="1" xfId="0" applyNumberFormat="1" applyFont="1" applyFill="1" applyBorder="1" applyAlignment="1">
      <alignment vertical="center" wrapText="1"/>
    </xf>
    <xf numFmtId="1" fontId="3" fillId="8" borderId="0" xfId="0" applyNumberFormat="1" applyFont="1" applyFill="1" applyAlignment="1">
      <alignment vertical="center" wrapText="1"/>
    </xf>
    <xf numFmtId="1" fontId="3" fillId="8" borderId="1" xfId="0" applyNumberFormat="1" applyFont="1" applyFill="1" applyBorder="1" applyAlignment="1">
      <alignment vertical="center" wrapText="1"/>
    </xf>
    <xf numFmtId="164" fontId="3" fillId="8" borderId="0" xfId="0" applyNumberFormat="1" applyFont="1" applyFill="1" applyAlignment="1">
      <alignment vertical="center" wrapText="1"/>
    </xf>
    <xf numFmtId="164" fontId="11" fillId="9" borderId="0" xfId="0" applyNumberFormat="1" applyFont="1" applyFill="1" applyAlignment="1">
      <alignment vertical="center" wrapText="1"/>
    </xf>
    <xf numFmtId="172" fontId="5" fillId="9" borderId="0" xfId="0" applyNumberFormat="1" applyFont="1" applyFill="1" applyAlignment="1">
      <alignment vertical="center" wrapText="1"/>
    </xf>
    <xf numFmtId="172" fontId="5" fillId="9" borderId="1" xfId="0" applyNumberFormat="1" applyFont="1" applyFill="1" applyBorder="1" applyAlignment="1">
      <alignment vertical="center" wrapText="1"/>
    </xf>
    <xf numFmtId="1" fontId="5" fillId="9" borderId="0" xfId="0" applyNumberFormat="1" applyFont="1" applyFill="1" applyAlignment="1">
      <alignment vertical="center" wrapText="1"/>
    </xf>
    <xf numFmtId="1" fontId="5" fillId="9" borderId="1" xfId="0" applyNumberFormat="1" applyFont="1" applyFill="1" applyBorder="1" applyAlignment="1">
      <alignment vertical="center" wrapText="1"/>
    </xf>
    <xf numFmtId="1" fontId="11" fillId="9" borderId="0" xfId="0" applyNumberFormat="1" applyFont="1" applyFill="1" applyAlignment="1">
      <alignment vertical="center" wrapText="1"/>
    </xf>
    <xf numFmtId="164" fontId="5" fillId="9" borderId="0" xfId="0" applyNumberFormat="1" applyFont="1" applyFill="1" applyAlignment="1">
      <alignment vertical="center" wrapText="1"/>
    </xf>
    <xf numFmtId="164" fontId="11" fillId="9" borderId="1" xfId="0" applyNumberFormat="1" applyFont="1" applyFill="1" applyBorder="1" applyAlignment="1">
      <alignment vertical="center" wrapText="1"/>
    </xf>
    <xf numFmtId="173" fontId="3" fillId="8" borderId="0" xfId="0" applyNumberFormat="1" applyFont="1" applyFill="1" applyAlignment="1">
      <alignment vertical="center" wrapText="1"/>
    </xf>
    <xf numFmtId="9" fontId="4" fillId="0" borderId="0" xfId="0" applyNumberFormat="1" applyFont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172" fontId="4" fillId="4" borderId="1" xfId="0" applyNumberFormat="1" applyFont="1" applyFill="1" applyBorder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74" fontId="4" fillId="0" borderId="0" xfId="0" applyNumberFormat="1" applyFont="1" applyAlignment="1">
      <alignment vertical="center" wrapText="1"/>
    </xf>
    <xf numFmtId="175" fontId="4" fillId="0" borderId="0" xfId="0" applyNumberFormat="1" applyFont="1" applyAlignment="1">
      <alignment vertical="center" wrapText="1"/>
    </xf>
    <xf numFmtId="2" fontId="11" fillId="9" borderId="1" xfId="0" applyNumberFormat="1" applyFont="1" applyFill="1" applyBorder="1" applyAlignment="1">
      <alignment vertical="center" wrapText="1"/>
    </xf>
    <xf numFmtId="2" fontId="11" fillId="9" borderId="0" xfId="0" applyNumberFormat="1" applyFont="1" applyFill="1" applyAlignment="1">
      <alignment vertical="center" wrapText="1"/>
    </xf>
    <xf numFmtId="0" fontId="13" fillId="10" borderId="0" xfId="0" applyFont="1" applyFill="1" applyAlignment="1">
      <alignment vertical="center" wrapText="1"/>
    </xf>
    <xf numFmtId="0" fontId="14" fillId="11" borderId="0" xfId="0" applyFont="1" applyFill="1" applyAlignment="1">
      <alignment vertical="center" wrapText="1"/>
    </xf>
    <xf numFmtId="164" fontId="14" fillId="11" borderId="0" xfId="0" applyNumberFormat="1" applyFont="1" applyFill="1" applyAlignment="1">
      <alignment vertical="center" wrapText="1"/>
    </xf>
    <xf numFmtId="176" fontId="14" fillId="11" borderId="0" xfId="0" applyNumberFormat="1" applyFont="1" applyFill="1" applyAlignment="1">
      <alignment vertical="center" wrapText="1"/>
    </xf>
    <xf numFmtId="177" fontId="14" fillId="11" borderId="0" xfId="0" applyNumberFormat="1" applyFont="1" applyFill="1" applyAlignment="1">
      <alignment vertical="center" wrapText="1"/>
    </xf>
    <xf numFmtId="1" fontId="14" fillId="11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63500</xdr:colOff>
      <xdr:row>17</xdr:row>
      <xdr:rowOff>146050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8221B43-75DD-0EA4-8886-A3B96534C29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352425</xdr:colOff>
      <xdr:row>17</xdr:row>
      <xdr:rowOff>180975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3FF10D5-7E7A-9D50-ECEF-80B0678FC8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635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352425</xdr:colOff>
      <xdr:row>17</xdr:row>
      <xdr:rowOff>180975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F46733D-B0DD-DFAC-D785-43759CD379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635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abSelected="1" workbookViewId="0"/>
  </sheetViews>
  <sheetFormatPr defaultColWidth="14.42578125" defaultRowHeight="15" x14ac:dyDescent="0.25"/>
  <cols>
    <col min="1" max="1" width="58" customWidth="1"/>
    <col min="2" max="2" width="32" customWidth="1"/>
    <col min="3" max="3" width="24" customWidth="1"/>
    <col min="4" max="4" width="64" customWidth="1"/>
    <col min="5" max="6" width="4" customWidth="1"/>
    <col min="7" max="7" width="48" customWidth="1"/>
    <col min="8" max="8" width="32" customWidth="1"/>
    <col min="9" max="9" width="64" customWidth="1"/>
    <col min="10" max="10" width="35" customWidth="1"/>
    <col min="11" max="26" width="8.7109375" customWidth="1"/>
  </cols>
  <sheetData>
    <row r="1" spans="1:10" ht="32.1" customHeight="1" x14ac:dyDescent="0.25">
      <c r="A1" s="1" t="s">
        <v>387</v>
      </c>
      <c r="B1" s="3"/>
      <c r="C1" s="3"/>
      <c r="D1" s="3"/>
      <c r="E1" s="3"/>
      <c r="F1" s="3"/>
      <c r="G1" s="3"/>
      <c r="H1" s="3"/>
      <c r="I1" s="4"/>
      <c r="J1" s="4"/>
    </row>
    <row r="2" spans="1:10" x14ac:dyDescent="0.25">
      <c r="A2" s="2" t="s">
        <v>388</v>
      </c>
      <c r="B2" s="4"/>
      <c r="C2" s="4"/>
      <c r="D2" s="4"/>
      <c r="E2" s="4"/>
      <c r="F2" s="4"/>
      <c r="G2" s="4"/>
      <c r="H2" s="4"/>
      <c r="I2" s="4"/>
      <c r="J2" s="4"/>
    </row>
    <row r="3" spans="1:10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1.95" customHeight="1" x14ac:dyDescent="0.25">
      <c r="A4" s="6" t="s">
        <v>0</v>
      </c>
      <c r="B4" s="5"/>
      <c r="C4" s="5"/>
      <c r="D4" s="5"/>
      <c r="E4" s="5"/>
      <c r="F4" s="5"/>
      <c r="G4" s="7" t="s">
        <v>389</v>
      </c>
      <c r="H4" s="7"/>
      <c r="I4" s="7"/>
      <c r="J4" s="7"/>
    </row>
    <row r="5" spans="1:10" ht="36" customHeight="1" x14ac:dyDescent="0.25">
      <c r="A5" s="8" t="s">
        <v>1</v>
      </c>
      <c r="B5" s="5" t="s">
        <v>2</v>
      </c>
      <c r="C5" s="5"/>
      <c r="D5" s="5"/>
      <c r="E5" s="5"/>
      <c r="F5" s="5"/>
      <c r="G5" s="5" t="s">
        <v>390</v>
      </c>
      <c r="H5" s="9" t="s">
        <v>391</v>
      </c>
      <c r="I5" s="5" t="s">
        <v>392</v>
      </c>
      <c r="J5" s="5"/>
    </row>
    <row r="6" spans="1:10" ht="36" customHeight="1" x14ac:dyDescent="0.25">
      <c r="A6" s="10" t="s">
        <v>3</v>
      </c>
      <c r="B6" s="5" t="s">
        <v>4</v>
      </c>
      <c r="C6" s="5"/>
      <c r="D6" s="5"/>
      <c r="E6" s="5"/>
      <c r="F6" s="5"/>
      <c r="G6" s="5" t="s">
        <v>393</v>
      </c>
      <c r="H6" s="9" t="s">
        <v>394</v>
      </c>
      <c r="I6" s="5" t="s">
        <v>395</v>
      </c>
      <c r="J6" s="5"/>
    </row>
    <row r="7" spans="1:10" ht="36" customHeight="1" x14ac:dyDescent="0.25">
      <c r="A7" s="11" t="s">
        <v>5</v>
      </c>
      <c r="B7" s="5" t="s">
        <v>6</v>
      </c>
      <c r="C7" s="5"/>
      <c r="D7" s="5"/>
      <c r="E7" s="5"/>
      <c r="F7" s="5"/>
      <c r="G7" s="5" t="s">
        <v>396</v>
      </c>
      <c r="H7" s="9" t="s">
        <v>397</v>
      </c>
      <c r="I7" s="5" t="s">
        <v>398</v>
      </c>
      <c r="J7" s="5"/>
    </row>
    <row r="8" spans="1:10" ht="21.95" customHeight="1" x14ac:dyDescent="0.25">
      <c r="A8" s="12" t="s">
        <v>7</v>
      </c>
      <c r="B8" s="5" t="s">
        <v>8</v>
      </c>
      <c r="C8" s="5"/>
      <c r="D8" s="5"/>
      <c r="E8" s="5"/>
      <c r="F8" s="5"/>
      <c r="G8" s="5" t="s">
        <v>399</v>
      </c>
      <c r="H8" s="9" t="s">
        <v>400</v>
      </c>
      <c r="I8" s="5" t="s">
        <v>401</v>
      </c>
      <c r="J8" s="5"/>
    </row>
    <row r="9" spans="1:10" ht="36" customHeight="1" x14ac:dyDescent="0.25">
      <c r="A9" s="5"/>
      <c r="B9" s="5"/>
      <c r="C9" s="5"/>
      <c r="D9" s="5"/>
      <c r="E9" s="5"/>
      <c r="F9" s="5"/>
      <c r="G9" s="5" t="s">
        <v>402</v>
      </c>
      <c r="H9" s="9" t="s">
        <v>403</v>
      </c>
      <c r="I9" s="5" t="s">
        <v>404</v>
      </c>
      <c r="J9" s="5"/>
    </row>
    <row r="10" spans="1:10" ht="36" customHeight="1" x14ac:dyDescent="0.25">
      <c r="A10" s="6" t="s">
        <v>9</v>
      </c>
      <c r="B10" s="5"/>
      <c r="C10" s="5"/>
      <c r="D10" s="5"/>
      <c r="E10" s="5"/>
      <c r="F10" s="5"/>
      <c r="G10" s="5" t="s">
        <v>405</v>
      </c>
      <c r="H10" s="9" t="s">
        <v>406</v>
      </c>
      <c r="I10" s="5" t="s">
        <v>407</v>
      </c>
      <c r="J10" s="5"/>
    </row>
    <row r="11" spans="1:10" ht="50.1" customHeight="1" x14ac:dyDescent="0.25">
      <c r="A11" s="13" t="s">
        <v>10</v>
      </c>
      <c r="B11" s="5" t="s">
        <v>11</v>
      </c>
      <c r="C11" s="5"/>
      <c r="D11" s="5"/>
      <c r="E11" s="5"/>
      <c r="F11" s="5"/>
      <c r="G11" s="5" t="s">
        <v>408</v>
      </c>
      <c r="H11" s="9" t="s">
        <v>409</v>
      </c>
      <c r="I11" s="5" t="s">
        <v>410</v>
      </c>
      <c r="J11" s="5"/>
    </row>
    <row r="12" spans="1:10" ht="36" customHeight="1" x14ac:dyDescent="0.25">
      <c r="A12" s="13" t="s">
        <v>12</v>
      </c>
      <c r="B12" s="5" t="s">
        <v>13</v>
      </c>
      <c r="C12" s="5"/>
      <c r="D12" s="5"/>
      <c r="E12" s="5"/>
      <c r="F12" s="5"/>
      <c r="G12" s="5" t="s">
        <v>105</v>
      </c>
      <c r="H12" s="9" t="s">
        <v>411</v>
      </c>
      <c r="I12" s="5" t="s">
        <v>412</v>
      </c>
      <c r="J12" s="5"/>
    </row>
    <row r="13" spans="1:10" ht="50.1" customHeight="1" x14ac:dyDescent="0.25">
      <c r="A13" s="13" t="s">
        <v>14</v>
      </c>
      <c r="B13" s="5" t="s">
        <v>15</v>
      </c>
      <c r="C13" s="5"/>
      <c r="D13" s="5"/>
      <c r="E13" s="5"/>
      <c r="F13" s="5"/>
      <c r="G13" s="5" t="s">
        <v>413</v>
      </c>
      <c r="H13" s="9" t="s">
        <v>414</v>
      </c>
      <c r="I13" s="5" t="s">
        <v>415</v>
      </c>
      <c r="J13" s="5"/>
    </row>
    <row r="14" spans="1:10" ht="50.1" customHeight="1" x14ac:dyDescent="0.25">
      <c r="A14" s="13" t="s">
        <v>16</v>
      </c>
      <c r="B14" s="5" t="s">
        <v>17</v>
      </c>
      <c r="C14" s="5"/>
      <c r="D14" s="5"/>
      <c r="E14" s="5"/>
      <c r="F14" s="5"/>
      <c r="G14" s="5" t="s">
        <v>416</v>
      </c>
      <c r="H14" s="9" t="s">
        <v>417</v>
      </c>
      <c r="I14" s="5" t="s">
        <v>418</v>
      </c>
      <c r="J14" s="5"/>
    </row>
    <row r="15" spans="1:10" ht="36" customHeight="1" x14ac:dyDescent="0.25">
      <c r="A15" s="13" t="s">
        <v>18</v>
      </c>
      <c r="B15" s="5" t="s">
        <v>19</v>
      </c>
      <c r="C15" s="5"/>
      <c r="D15" s="5"/>
      <c r="E15" s="5"/>
      <c r="F15" s="5"/>
      <c r="G15" s="5" t="s">
        <v>419</v>
      </c>
      <c r="H15" s="9" t="s">
        <v>420</v>
      </c>
      <c r="I15" s="5" t="s">
        <v>421</v>
      </c>
      <c r="J15" s="5"/>
    </row>
    <row r="16" spans="1:10" ht="63.95" customHeight="1" x14ac:dyDescent="0.25">
      <c r="A16" s="13" t="s">
        <v>20</v>
      </c>
      <c r="B16" s="5" t="s">
        <v>21</v>
      </c>
      <c r="C16" s="5"/>
      <c r="D16" s="5"/>
      <c r="E16" s="5"/>
      <c r="F16" s="5"/>
      <c r="G16" s="5" t="s">
        <v>422</v>
      </c>
      <c r="H16" s="9" t="s">
        <v>423</v>
      </c>
      <c r="I16" s="5" t="s">
        <v>799</v>
      </c>
      <c r="J16" s="5"/>
    </row>
    <row r="17" spans="1:10" ht="36" customHeight="1" x14ac:dyDescent="0.25">
      <c r="A17" s="5"/>
      <c r="B17" s="5"/>
      <c r="C17" s="5"/>
      <c r="D17" s="5"/>
      <c r="E17" s="5"/>
      <c r="F17" s="5"/>
      <c r="G17" s="5" t="s">
        <v>424</v>
      </c>
      <c r="H17" s="9" t="s">
        <v>425</v>
      </c>
      <c r="I17" s="5" t="s">
        <v>426</v>
      </c>
      <c r="J17" s="5"/>
    </row>
    <row r="18" spans="1:10" ht="63.95" customHeight="1" x14ac:dyDescent="0.25">
      <c r="A18" s="6" t="s">
        <v>22</v>
      </c>
      <c r="B18" s="5"/>
      <c r="C18" s="5"/>
      <c r="D18" s="5"/>
      <c r="E18" s="5"/>
      <c r="F18" s="5"/>
      <c r="G18" s="5" t="s">
        <v>427</v>
      </c>
      <c r="H18" s="9" t="s">
        <v>800</v>
      </c>
      <c r="I18" s="5" t="s">
        <v>801</v>
      </c>
      <c r="J18" s="5"/>
    </row>
    <row r="19" spans="1:10" ht="36" customHeight="1" x14ac:dyDescent="0.25">
      <c r="A19" s="5" t="s">
        <v>23</v>
      </c>
      <c r="B19" s="5"/>
      <c r="C19" s="5"/>
      <c r="D19" s="5"/>
      <c r="E19" s="5"/>
      <c r="F19" s="5"/>
      <c r="G19" s="5" t="s">
        <v>428</v>
      </c>
      <c r="H19" s="9" t="s">
        <v>429</v>
      </c>
      <c r="I19" s="5" t="s">
        <v>430</v>
      </c>
      <c r="J19" s="5"/>
    </row>
    <row r="20" spans="1:10" ht="36" customHeight="1" x14ac:dyDescent="0.25">
      <c r="A20" s="5" t="s">
        <v>24</v>
      </c>
      <c r="B20" s="5"/>
      <c r="C20" s="5"/>
      <c r="D20" s="5"/>
      <c r="E20" s="5"/>
      <c r="F20" s="5"/>
      <c r="G20" s="5" t="s">
        <v>431</v>
      </c>
      <c r="H20" s="9" t="s">
        <v>432</v>
      </c>
      <c r="I20" s="5" t="s">
        <v>433</v>
      </c>
      <c r="J20" s="5"/>
    </row>
    <row r="21" spans="1:10" ht="36" customHeight="1" x14ac:dyDescent="0.25">
      <c r="A21" s="5" t="s">
        <v>25</v>
      </c>
      <c r="B21" s="5"/>
      <c r="C21" s="5"/>
      <c r="D21" s="5"/>
      <c r="E21" s="5"/>
      <c r="F21" s="5"/>
      <c r="G21" s="5" t="s">
        <v>434</v>
      </c>
      <c r="H21" s="9" t="s">
        <v>842</v>
      </c>
      <c r="I21" s="5" t="s">
        <v>843</v>
      </c>
      <c r="J21" s="5"/>
    </row>
    <row r="22" spans="1:10" ht="21.9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36" customHeight="1" x14ac:dyDescent="0.25">
      <c r="A23" s="14" t="s">
        <v>435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ht="36" customHeight="1" x14ac:dyDescent="0.25">
      <c r="A24" s="14" t="s">
        <v>436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ht="21.9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21.9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21.9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21.9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21.9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21.9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21.9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ht="21.9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21.9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21.9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21.9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21.9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21.9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21.9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21.9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21.9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1.9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21.9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21.9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21.9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21.9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21.9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21.9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21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1.9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1.9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1.9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1.9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1.9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1.9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1.9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1.9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1.9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1.9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1.9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1.9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1.9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1.9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1.9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1.9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1.9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1.9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1.9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1.9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1.9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1.9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1.9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1.9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/>
  </sheetViews>
  <sheetFormatPr defaultColWidth="14.42578125" defaultRowHeight="15" x14ac:dyDescent="0.25"/>
  <cols>
    <col min="1" max="1" width="58" customWidth="1"/>
    <col min="2" max="2" width="32" customWidth="1"/>
    <col min="3" max="3" width="24" customWidth="1"/>
    <col min="4" max="4" width="64" customWidth="1"/>
    <col min="5" max="6" width="4" customWidth="1"/>
    <col min="7" max="7" width="48" customWidth="1"/>
    <col min="8" max="8" width="32" customWidth="1"/>
    <col min="9" max="9" width="64" customWidth="1"/>
    <col min="10" max="10" width="35" customWidth="1"/>
    <col min="11" max="26" width="8.7109375" customWidth="1"/>
  </cols>
  <sheetData>
    <row r="1" spans="1:10" ht="32.1" customHeight="1" x14ac:dyDescent="0.25">
      <c r="A1" s="1" t="s">
        <v>26</v>
      </c>
      <c r="B1" s="3"/>
      <c r="C1" s="3"/>
      <c r="D1" s="3"/>
      <c r="E1" s="3"/>
      <c r="F1" s="3"/>
      <c r="G1" s="3"/>
      <c r="H1" s="3"/>
      <c r="I1" s="4"/>
      <c r="J1" s="4"/>
    </row>
    <row r="2" spans="1:10" x14ac:dyDescent="0.25">
      <c r="A2" s="2" t="s">
        <v>27</v>
      </c>
      <c r="B2" s="4"/>
      <c r="C2" s="4"/>
      <c r="D2" s="4"/>
      <c r="E2" s="4"/>
      <c r="F2" s="4"/>
      <c r="G2" s="4"/>
      <c r="H2" s="4"/>
      <c r="I2" s="4"/>
      <c r="J2" s="4"/>
    </row>
    <row r="3" spans="1:10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1.95" customHeight="1" x14ac:dyDescent="0.25">
      <c r="A4" s="15" t="s">
        <v>28</v>
      </c>
      <c r="B4" s="16"/>
      <c r="C4" s="16"/>
      <c r="D4" s="16"/>
      <c r="E4" s="16"/>
      <c r="F4" s="16"/>
      <c r="G4" s="17" t="s">
        <v>437</v>
      </c>
      <c r="H4" s="17"/>
      <c r="I4" s="7"/>
      <c r="J4" s="7"/>
    </row>
    <row r="5" spans="1:10" ht="50.1" customHeight="1" x14ac:dyDescent="0.25">
      <c r="A5" s="5" t="s">
        <v>29</v>
      </c>
      <c r="B5" s="8" t="s">
        <v>438</v>
      </c>
      <c r="C5" s="5"/>
      <c r="D5" s="14" t="s">
        <v>439</v>
      </c>
      <c r="E5" s="5"/>
      <c r="F5" s="5"/>
      <c r="G5" s="5" t="s">
        <v>440</v>
      </c>
      <c r="H5" s="54">
        <v>10</v>
      </c>
      <c r="I5" s="5" t="s">
        <v>441</v>
      </c>
      <c r="J5" s="5"/>
    </row>
    <row r="6" spans="1:10" ht="36" customHeight="1" x14ac:dyDescent="0.25">
      <c r="A6" s="5" t="s">
        <v>30</v>
      </c>
      <c r="B6" s="18" t="s">
        <v>442</v>
      </c>
      <c r="C6" s="5"/>
      <c r="D6" s="14" t="s">
        <v>31</v>
      </c>
      <c r="E6" s="5"/>
      <c r="F6" s="5"/>
      <c r="G6" s="5" t="s">
        <v>443</v>
      </c>
      <c r="H6" s="9">
        <v>60</v>
      </c>
      <c r="I6" s="5" t="s">
        <v>444</v>
      </c>
      <c r="J6" s="5"/>
    </row>
    <row r="7" spans="1:10" ht="21.95" customHeight="1" x14ac:dyDescent="0.25">
      <c r="A7" s="5"/>
      <c r="B7" s="5"/>
      <c r="C7" s="5"/>
      <c r="D7" s="5"/>
      <c r="E7" s="5"/>
      <c r="F7" s="5"/>
      <c r="G7" s="5" t="s">
        <v>445</v>
      </c>
      <c r="H7" s="9">
        <v>6</v>
      </c>
      <c r="I7" s="5" t="s">
        <v>446</v>
      </c>
      <c r="J7" s="5"/>
    </row>
    <row r="8" spans="1:10" ht="21.95" customHeight="1" x14ac:dyDescent="0.25">
      <c r="A8" s="15" t="s">
        <v>32</v>
      </c>
      <c r="B8" s="16"/>
      <c r="C8" s="16"/>
      <c r="D8" s="16"/>
      <c r="E8" s="16"/>
      <c r="F8" s="16"/>
      <c r="G8" s="16" t="s">
        <v>447</v>
      </c>
      <c r="H8" s="19">
        <v>2.4</v>
      </c>
      <c r="I8" s="5" t="s">
        <v>448</v>
      </c>
      <c r="J8" s="5"/>
    </row>
    <row r="9" spans="1:10" ht="36" customHeight="1" x14ac:dyDescent="0.25">
      <c r="A9" s="5" t="s">
        <v>33</v>
      </c>
      <c r="B9" s="20">
        <v>1200</v>
      </c>
      <c r="C9" s="14" t="s">
        <v>34</v>
      </c>
      <c r="D9" s="5"/>
      <c r="E9" s="5"/>
      <c r="F9" s="5"/>
      <c r="G9" s="5" t="s">
        <v>449</v>
      </c>
      <c r="H9" s="50">
        <v>1.5E-3</v>
      </c>
      <c r="I9" s="5" t="s">
        <v>450</v>
      </c>
      <c r="J9" s="5"/>
    </row>
    <row r="10" spans="1:10" ht="36" customHeight="1" x14ac:dyDescent="0.25">
      <c r="A10" s="5" t="s">
        <v>35</v>
      </c>
      <c r="B10" s="21">
        <v>0.85</v>
      </c>
      <c r="C10" s="5"/>
      <c r="D10" s="14" t="s">
        <v>451</v>
      </c>
      <c r="E10" s="5"/>
      <c r="F10" s="5"/>
      <c r="G10" s="5" t="s">
        <v>452</v>
      </c>
      <c r="H10" s="54">
        <v>2</v>
      </c>
      <c r="I10" s="5" t="s">
        <v>453</v>
      </c>
      <c r="J10" s="5"/>
    </row>
    <row r="11" spans="1:10" ht="21.95" customHeight="1" x14ac:dyDescent="0.25">
      <c r="A11" s="5" t="s">
        <v>36</v>
      </c>
      <c r="B11" s="22">
        <f>B9*B10</f>
        <v>1020</v>
      </c>
      <c r="C11" s="14" t="s">
        <v>34</v>
      </c>
      <c r="D11" s="14" t="s">
        <v>37</v>
      </c>
      <c r="E11" s="5"/>
      <c r="F11" s="5"/>
      <c r="G11" s="5" t="s">
        <v>454</v>
      </c>
      <c r="H11" s="50">
        <v>1E-3</v>
      </c>
      <c r="I11" s="5" t="s">
        <v>455</v>
      </c>
      <c r="J11" s="5"/>
    </row>
    <row r="12" spans="1:10" ht="36" customHeight="1" x14ac:dyDescent="0.25">
      <c r="A12" s="5" t="s">
        <v>38</v>
      </c>
      <c r="B12" s="22">
        <f>B9-B11</f>
        <v>180</v>
      </c>
      <c r="C12" s="14" t="s">
        <v>34</v>
      </c>
      <c r="D12" s="14" t="s">
        <v>39</v>
      </c>
      <c r="E12" s="5"/>
      <c r="F12" s="5"/>
      <c r="G12" s="5" t="s">
        <v>456</v>
      </c>
      <c r="H12" s="54">
        <v>3</v>
      </c>
      <c r="I12" s="5" t="s">
        <v>457</v>
      </c>
      <c r="J12" s="5"/>
    </row>
    <row r="13" spans="1:10" ht="21.95" customHeight="1" x14ac:dyDescent="0.25">
      <c r="A13" s="5"/>
      <c r="B13" s="5"/>
      <c r="C13" s="5"/>
      <c r="D13" s="5"/>
      <c r="E13" s="5"/>
      <c r="F13" s="5"/>
      <c r="G13" s="5" t="s">
        <v>458</v>
      </c>
      <c r="H13" s="50">
        <v>1.4999999999999999E-2</v>
      </c>
      <c r="I13" s="5" t="s">
        <v>459</v>
      </c>
      <c r="J13" s="5"/>
    </row>
    <row r="14" spans="1:10" ht="21.95" customHeight="1" x14ac:dyDescent="0.25">
      <c r="A14" s="15" t="s">
        <v>40</v>
      </c>
      <c r="B14" s="16"/>
      <c r="C14" s="16"/>
      <c r="D14" s="16"/>
      <c r="E14" s="16"/>
      <c r="F14" s="16"/>
      <c r="G14" s="16" t="s">
        <v>460</v>
      </c>
      <c r="H14" s="55">
        <v>1</v>
      </c>
      <c r="I14" s="5" t="s">
        <v>461</v>
      </c>
      <c r="J14" s="5"/>
    </row>
    <row r="15" spans="1:10" ht="36" customHeight="1" x14ac:dyDescent="0.25">
      <c r="A15" s="5" t="s">
        <v>41</v>
      </c>
      <c r="B15" s="23">
        <v>0</v>
      </c>
      <c r="C15" s="5"/>
      <c r="D15" s="14" t="s">
        <v>462</v>
      </c>
      <c r="E15" s="5"/>
      <c r="F15" s="5"/>
      <c r="G15" s="5" t="s">
        <v>463</v>
      </c>
      <c r="H15" s="51">
        <f>H9*H10</f>
        <v>3.0000000000000001E-3</v>
      </c>
      <c r="I15" s="5" t="s">
        <v>464</v>
      </c>
      <c r="J15" s="5"/>
    </row>
    <row r="16" spans="1:10" ht="21.95" customHeight="1" x14ac:dyDescent="0.25">
      <c r="A16" s="5" t="s">
        <v>42</v>
      </c>
      <c r="B16" s="23">
        <v>0</v>
      </c>
      <c r="C16" s="5"/>
      <c r="D16" s="5"/>
      <c r="E16" s="5"/>
      <c r="F16" s="5"/>
      <c r="G16" s="5" t="s">
        <v>465</v>
      </c>
      <c r="H16" s="51">
        <f>H11*H12</f>
        <v>3.0000000000000001E-3</v>
      </c>
      <c r="I16" s="5" t="s">
        <v>466</v>
      </c>
      <c r="J16" s="5"/>
    </row>
    <row r="17" spans="1:10" ht="36" customHeight="1" x14ac:dyDescent="0.25">
      <c r="A17" s="5" t="s">
        <v>43</v>
      </c>
      <c r="B17" s="23">
        <v>0</v>
      </c>
      <c r="C17" s="5"/>
      <c r="D17" s="14" t="s">
        <v>467</v>
      </c>
      <c r="E17" s="5"/>
      <c r="F17" s="5"/>
      <c r="G17" s="5" t="s">
        <v>468</v>
      </c>
      <c r="H17" s="51">
        <f>H13*H14</f>
        <v>1.4999999999999999E-2</v>
      </c>
      <c r="I17" s="5" t="s">
        <v>469</v>
      </c>
      <c r="J17" s="5"/>
    </row>
    <row r="18" spans="1:10" ht="21.95" customHeight="1" x14ac:dyDescent="0.25">
      <c r="A18" s="5" t="s">
        <v>44</v>
      </c>
      <c r="B18" s="23">
        <v>0</v>
      </c>
      <c r="C18" s="5"/>
      <c r="D18" s="14" t="s">
        <v>470</v>
      </c>
      <c r="E18" s="5"/>
      <c r="F18" s="5"/>
      <c r="G18" s="5" t="s">
        <v>471</v>
      </c>
      <c r="H18" s="51">
        <f>SUM(H15:H17)</f>
        <v>2.0999999999999998E-2</v>
      </c>
      <c r="I18" s="5" t="s">
        <v>472</v>
      </c>
      <c r="J18" s="5"/>
    </row>
    <row r="19" spans="1:10" ht="36" customHeight="1" x14ac:dyDescent="0.25">
      <c r="A19" s="5" t="s">
        <v>45</v>
      </c>
      <c r="B19" s="20">
        <v>1</v>
      </c>
      <c r="C19" s="14" t="s">
        <v>46</v>
      </c>
      <c r="D19" s="5" t="s">
        <v>473</v>
      </c>
      <c r="E19" s="5"/>
      <c r="F19" s="5"/>
      <c r="G19" s="5" t="s">
        <v>474</v>
      </c>
      <c r="H19" s="51">
        <f>H18*B46</f>
        <v>1.6799999999999999E-3</v>
      </c>
      <c r="I19" s="5" t="s">
        <v>475</v>
      </c>
      <c r="J19" s="5"/>
    </row>
    <row r="20" spans="1:10" ht="21.95" customHeight="1" x14ac:dyDescent="0.25">
      <c r="A20" s="5" t="s">
        <v>47</v>
      </c>
      <c r="B20" s="20">
        <v>0</v>
      </c>
      <c r="C20" s="14" t="s">
        <v>48</v>
      </c>
      <c r="D20" s="14" t="s">
        <v>49</v>
      </c>
      <c r="E20" s="5"/>
      <c r="F20" s="5"/>
      <c r="G20" s="5"/>
      <c r="H20" s="52"/>
      <c r="I20" s="5"/>
      <c r="J20" s="5"/>
    </row>
    <row r="21" spans="1:10" ht="21.95" customHeight="1" x14ac:dyDescent="0.25">
      <c r="A21" s="5" t="s">
        <v>50</v>
      </c>
      <c r="B21" s="20">
        <v>0</v>
      </c>
      <c r="C21" s="14" t="s">
        <v>48</v>
      </c>
      <c r="D21" s="14" t="s">
        <v>51</v>
      </c>
      <c r="E21" s="5"/>
      <c r="F21" s="5"/>
      <c r="G21" s="5" t="s">
        <v>476</v>
      </c>
      <c r="H21" s="51">
        <f>H6/H5/B9</f>
        <v>5.0000000000000001E-3</v>
      </c>
      <c r="I21" s="5" t="s">
        <v>477</v>
      </c>
      <c r="J21" s="5"/>
    </row>
    <row r="22" spans="1:10" ht="21.95" customHeight="1" x14ac:dyDescent="0.25">
      <c r="A22" s="5" t="s">
        <v>52</v>
      </c>
      <c r="B22" s="20">
        <v>0</v>
      </c>
      <c r="C22" s="14" t="s">
        <v>48</v>
      </c>
      <c r="D22" s="5"/>
      <c r="E22" s="5"/>
      <c r="F22" s="5"/>
      <c r="G22" s="5" t="s">
        <v>478</v>
      </c>
      <c r="H22" s="50">
        <v>2E-3</v>
      </c>
      <c r="I22" s="5" t="s">
        <v>479</v>
      </c>
      <c r="J22" s="5"/>
    </row>
    <row r="23" spans="1:10" ht="21.95" customHeight="1" x14ac:dyDescent="0.25">
      <c r="A23" s="5" t="s">
        <v>53</v>
      </c>
      <c r="B23" s="25">
        <f>B20*B17/1000000</f>
        <v>0</v>
      </c>
      <c r="C23" s="5"/>
      <c r="D23" s="5"/>
      <c r="E23" s="5"/>
      <c r="F23" s="5"/>
      <c r="G23" s="5" t="s">
        <v>480</v>
      </c>
      <c r="H23" s="50">
        <v>2E-3</v>
      </c>
      <c r="I23" s="5" t="s">
        <v>481</v>
      </c>
      <c r="J23" s="5"/>
    </row>
    <row r="24" spans="1:10" ht="21.95" customHeight="1" x14ac:dyDescent="0.25">
      <c r="A24" s="5" t="s">
        <v>54</v>
      </c>
      <c r="B24" s="25">
        <f>(B19-1)*B20*B18/1000000</f>
        <v>0</v>
      </c>
      <c r="C24" s="5"/>
      <c r="D24" s="5"/>
      <c r="E24" s="5"/>
      <c r="F24" s="5"/>
      <c r="G24" s="5" t="s">
        <v>482</v>
      </c>
      <c r="H24" s="51">
        <f>H7/B9</f>
        <v>5.0000000000000001E-3</v>
      </c>
      <c r="I24" s="5" t="s">
        <v>483</v>
      </c>
      <c r="J24" s="5"/>
    </row>
    <row r="25" spans="1:10" ht="21.95" customHeight="1" x14ac:dyDescent="0.25">
      <c r="A25" s="5" t="s">
        <v>55</v>
      </c>
      <c r="B25" s="25">
        <f>B19*B21*B15/1000000</f>
        <v>0</v>
      </c>
      <c r="C25" s="5"/>
      <c r="D25" s="5"/>
      <c r="E25" s="5"/>
      <c r="F25" s="5"/>
      <c r="G25" s="5" t="s">
        <v>484</v>
      </c>
      <c r="H25" s="51">
        <f>H8/B9</f>
        <v>2E-3</v>
      </c>
      <c r="I25" s="5" t="s">
        <v>485</v>
      </c>
      <c r="J25" s="5"/>
    </row>
    <row r="26" spans="1:10" ht="21.95" customHeight="1" x14ac:dyDescent="0.25">
      <c r="A26" s="5" t="s">
        <v>56</v>
      </c>
      <c r="B26" s="25">
        <f>B19*B22*B16/1000000</f>
        <v>0</v>
      </c>
      <c r="C26" s="5"/>
      <c r="D26" s="5"/>
      <c r="E26" s="5"/>
      <c r="F26" s="5"/>
      <c r="G26" s="5" t="s">
        <v>486</v>
      </c>
      <c r="H26" s="51">
        <f>SUM(H21:H25)</f>
        <v>1.6E-2</v>
      </c>
      <c r="I26" s="5" t="s">
        <v>487</v>
      </c>
      <c r="J26" s="5"/>
    </row>
    <row r="27" spans="1:10" ht="21.95" customHeight="1" x14ac:dyDescent="0.25">
      <c r="A27" s="13" t="s">
        <v>57</v>
      </c>
      <c r="B27" s="26">
        <f>SUM(B23:B26)</f>
        <v>0</v>
      </c>
      <c r="C27" s="5"/>
      <c r="D27" s="5"/>
      <c r="E27" s="5"/>
      <c r="F27" s="5"/>
      <c r="G27" s="5"/>
      <c r="H27" s="52"/>
      <c r="I27" s="5"/>
      <c r="J27" s="5"/>
    </row>
    <row r="28" spans="1:10" ht="21.95" customHeight="1" x14ac:dyDescent="0.25">
      <c r="A28" s="5" t="s">
        <v>58</v>
      </c>
      <c r="B28" s="25">
        <f>B19*(B20+B21)*B15/1000000+B26</f>
        <v>0</v>
      </c>
      <c r="C28" s="5"/>
      <c r="D28" s="5"/>
      <c r="E28" s="5"/>
      <c r="F28" s="5"/>
      <c r="G28" s="5" t="s">
        <v>488</v>
      </c>
      <c r="H28" s="51">
        <f>H18*B9</f>
        <v>25.199999999999996</v>
      </c>
      <c r="I28" s="5"/>
      <c r="J28" s="5"/>
    </row>
    <row r="29" spans="1:10" ht="21.95" customHeight="1" x14ac:dyDescent="0.25">
      <c r="A29" s="5" t="s">
        <v>59</v>
      </c>
      <c r="B29" s="27">
        <f>IF(B28=0,0,1-B27/B28)</f>
        <v>0</v>
      </c>
      <c r="C29" s="5"/>
      <c r="D29" s="14" t="s">
        <v>60</v>
      </c>
      <c r="E29" s="5"/>
      <c r="F29" s="5"/>
      <c r="G29" s="5" t="s">
        <v>489</v>
      </c>
      <c r="H29" s="51">
        <f>H19*B9</f>
        <v>2.016</v>
      </c>
      <c r="I29" s="5"/>
      <c r="J29" s="5"/>
    </row>
    <row r="30" spans="1:10" ht="21.95" customHeight="1" x14ac:dyDescent="0.25">
      <c r="A30" s="5" t="s">
        <v>61</v>
      </c>
      <c r="B30" s="20">
        <v>0</v>
      </c>
      <c r="C30" s="5"/>
      <c r="D30" s="14" t="s">
        <v>490</v>
      </c>
      <c r="E30" s="5"/>
      <c r="F30" s="5"/>
      <c r="G30" s="5" t="s">
        <v>491</v>
      </c>
      <c r="H30" s="51">
        <f>H26*B9</f>
        <v>19.2</v>
      </c>
      <c r="I30" s="5"/>
      <c r="J30" s="5"/>
    </row>
    <row r="31" spans="1:10" ht="21.95" customHeight="1" x14ac:dyDescent="0.25">
      <c r="A31" s="13" t="s">
        <v>62</v>
      </c>
      <c r="B31" s="26">
        <f>B27*(1-B30*0.5)</f>
        <v>0</v>
      </c>
      <c r="C31" s="5"/>
      <c r="D31" s="5"/>
      <c r="E31" s="5"/>
      <c r="F31" s="5"/>
      <c r="G31" s="5" t="s">
        <v>492</v>
      </c>
      <c r="H31" s="51">
        <f>B54</f>
        <v>4.8</v>
      </c>
      <c r="I31" s="5"/>
      <c r="J31" s="5"/>
    </row>
    <row r="32" spans="1:10" ht="36" customHeight="1" x14ac:dyDescent="0.25">
      <c r="A32" s="5"/>
      <c r="B32" s="5"/>
      <c r="C32" s="5"/>
      <c r="D32" s="5"/>
      <c r="E32" s="5"/>
      <c r="F32" s="5"/>
      <c r="G32" s="5" t="s">
        <v>493</v>
      </c>
      <c r="H32" s="51">
        <f>SUM(H28:H31)+B55</f>
        <v>51.215999999999994</v>
      </c>
      <c r="I32" s="5" t="s">
        <v>494</v>
      </c>
      <c r="J32" s="5"/>
    </row>
    <row r="33" spans="1:10" ht="36" customHeight="1" x14ac:dyDescent="0.25">
      <c r="A33" s="15" t="s">
        <v>63</v>
      </c>
      <c r="B33" s="16"/>
      <c r="C33" s="16"/>
      <c r="D33" s="16"/>
      <c r="E33" s="16"/>
      <c r="F33" s="16"/>
      <c r="G33" s="16" t="s">
        <v>495</v>
      </c>
      <c r="H33" s="53">
        <f>B59</f>
        <v>30</v>
      </c>
      <c r="I33" s="5" t="s">
        <v>496</v>
      </c>
      <c r="J33" s="5"/>
    </row>
    <row r="34" spans="1:10" ht="21.95" customHeight="1" x14ac:dyDescent="0.25">
      <c r="A34" s="5" t="s">
        <v>64</v>
      </c>
      <c r="B34" s="29">
        <v>0</v>
      </c>
      <c r="C34" s="5"/>
      <c r="D34" s="14" t="s">
        <v>497</v>
      </c>
      <c r="E34" s="5"/>
      <c r="F34" s="5"/>
      <c r="G34" s="5" t="s">
        <v>498</v>
      </c>
      <c r="H34" s="24">
        <f>H32+H33</f>
        <v>81.215999999999994</v>
      </c>
      <c r="I34" s="5"/>
      <c r="J34" s="5"/>
    </row>
    <row r="35" spans="1:10" ht="21.95" customHeight="1" x14ac:dyDescent="0.25">
      <c r="A35" s="5" t="s">
        <v>65</v>
      </c>
      <c r="B35" s="30">
        <v>0</v>
      </c>
      <c r="C35" s="14" t="s">
        <v>66</v>
      </c>
      <c r="D35" s="5"/>
      <c r="E35" s="5"/>
      <c r="F35" s="5"/>
      <c r="G35" s="5"/>
      <c r="H35" s="5"/>
      <c r="I35" s="5"/>
      <c r="J35" s="5"/>
    </row>
    <row r="36" spans="1:10" ht="21.95" customHeight="1" x14ac:dyDescent="0.25">
      <c r="A36" s="5" t="s">
        <v>67</v>
      </c>
      <c r="B36" s="23">
        <v>0</v>
      </c>
      <c r="C36" s="5"/>
      <c r="D36" s="14" t="s">
        <v>68</v>
      </c>
      <c r="E36" s="5"/>
      <c r="F36" s="5"/>
      <c r="G36" s="5" t="s">
        <v>499</v>
      </c>
      <c r="H36" s="54">
        <v>120</v>
      </c>
      <c r="I36" s="5" t="s">
        <v>500</v>
      </c>
      <c r="J36" s="5"/>
    </row>
    <row r="37" spans="1:10" ht="21.95" customHeight="1" x14ac:dyDescent="0.25">
      <c r="A37" s="5" t="s">
        <v>69</v>
      </c>
      <c r="B37" s="20">
        <v>0</v>
      </c>
      <c r="C37" s="14" t="s">
        <v>70</v>
      </c>
      <c r="D37" s="14" t="s">
        <v>71</v>
      </c>
      <c r="E37" s="5"/>
      <c r="F37" s="5"/>
      <c r="G37" s="5" t="s">
        <v>501</v>
      </c>
      <c r="H37" s="56">
        <v>0.8</v>
      </c>
      <c r="I37" s="5" t="s">
        <v>502</v>
      </c>
      <c r="J37" s="5"/>
    </row>
    <row r="38" spans="1:10" ht="21.95" customHeight="1" x14ac:dyDescent="0.25">
      <c r="A38" s="5" t="s">
        <v>72</v>
      </c>
      <c r="B38" s="25">
        <f>B34*B35+B36*B37/1000000</f>
        <v>0</v>
      </c>
      <c r="C38" s="5"/>
      <c r="D38" s="5"/>
      <c r="E38" s="5"/>
      <c r="F38" s="5"/>
      <c r="G38" s="5" t="s">
        <v>503</v>
      </c>
      <c r="H38" s="54">
        <v>30</v>
      </c>
      <c r="I38" s="5" t="s">
        <v>504</v>
      </c>
      <c r="J38" s="5"/>
    </row>
    <row r="39" spans="1:10" ht="21.95" customHeight="1" x14ac:dyDescent="0.25">
      <c r="A39" s="5"/>
      <c r="B39" s="5"/>
      <c r="C39" s="5"/>
      <c r="D39" s="5"/>
      <c r="E39" s="5"/>
      <c r="F39" s="5"/>
      <c r="G39" s="5" t="s">
        <v>505</v>
      </c>
      <c r="H39" s="54">
        <v>2</v>
      </c>
      <c r="I39" s="5" t="s">
        <v>506</v>
      </c>
      <c r="J39" s="5"/>
    </row>
    <row r="40" spans="1:10" ht="21.95" customHeight="1" x14ac:dyDescent="0.25">
      <c r="A40" s="15" t="s">
        <v>73</v>
      </c>
      <c r="B40" s="16"/>
      <c r="C40" s="16"/>
      <c r="D40" s="16"/>
      <c r="E40" s="16"/>
      <c r="F40" s="16"/>
      <c r="G40" s="16" t="s">
        <v>507</v>
      </c>
      <c r="H40" s="28">
        <f>H36*H37*H38/H39</f>
        <v>1440</v>
      </c>
      <c r="I40" s="5"/>
      <c r="J40" s="5"/>
    </row>
    <row r="41" spans="1:10" ht="36" customHeight="1" x14ac:dyDescent="0.25">
      <c r="A41" s="5" t="s">
        <v>508</v>
      </c>
      <c r="B41" s="29">
        <f>H18+H19+H26</f>
        <v>3.8679999999999999E-2</v>
      </c>
      <c r="C41" s="5"/>
      <c r="D41" s="14" t="s">
        <v>509</v>
      </c>
      <c r="E41" s="5"/>
      <c r="F41" s="5"/>
      <c r="G41" s="5" t="s">
        <v>510</v>
      </c>
      <c r="H41" s="57">
        <f>B9/H40</f>
        <v>0.83333333333333337</v>
      </c>
      <c r="I41" s="5" t="s">
        <v>511</v>
      </c>
      <c r="J41" s="5"/>
    </row>
    <row r="42" spans="1:10" ht="36" customHeight="1" x14ac:dyDescent="0.25">
      <c r="A42" s="5" t="s">
        <v>74</v>
      </c>
      <c r="B42" s="29">
        <v>0</v>
      </c>
      <c r="C42" s="5"/>
      <c r="D42" s="5"/>
      <c r="E42" s="5"/>
      <c r="F42" s="5"/>
      <c r="G42" s="5" t="s">
        <v>512</v>
      </c>
      <c r="H42" s="54">
        <v>10</v>
      </c>
      <c r="I42" s="5" t="s">
        <v>513</v>
      </c>
      <c r="J42" s="5"/>
    </row>
    <row r="43" spans="1:10" ht="21.95" customHeight="1" x14ac:dyDescent="0.25">
      <c r="A43" s="5" t="s">
        <v>75</v>
      </c>
      <c r="B43" s="25">
        <f>B41+B42*B35</f>
        <v>3.8679999999999999E-2</v>
      </c>
      <c r="C43" s="5"/>
      <c r="D43" s="5"/>
      <c r="E43" s="5"/>
      <c r="F43" s="5"/>
      <c r="G43" s="5" t="s">
        <v>514</v>
      </c>
      <c r="H43" s="9">
        <v>4</v>
      </c>
      <c r="I43" s="5" t="s">
        <v>515</v>
      </c>
      <c r="J43" s="5"/>
    </row>
    <row r="44" spans="1:10" ht="21.95" customHeight="1" x14ac:dyDescent="0.25">
      <c r="A44" s="5"/>
      <c r="B44" s="5"/>
      <c r="C44" s="5"/>
      <c r="D44" s="5"/>
      <c r="E44" s="5"/>
      <c r="F44" s="5"/>
      <c r="G44" s="5" t="s">
        <v>516</v>
      </c>
      <c r="H44" s="24">
        <f>B11*H42/60*H43</f>
        <v>680</v>
      </c>
      <c r="I44" s="5" t="s">
        <v>517</v>
      </c>
      <c r="J44" s="5"/>
    </row>
    <row r="45" spans="1:10" ht="21.95" customHeight="1" x14ac:dyDescent="0.25">
      <c r="A45" s="15" t="s">
        <v>76</v>
      </c>
      <c r="B45" s="16"/>
      <c r="C45" s="16"/>
      <c r="D45" s="16"/>
      <c r="E45" s="16"/>
      <c r="F45" s="16"/>
      <c r="G45" s="16" t="s">
        <v>518</v>
      </c>
      <c r="H45" s="19">
        <v>30</v>
      </c>
      <c r="I45" s="5" t="s">
        <v>519</v>
      </c>
      <c r="J45" s="5"/>
    </row>
    <row r="46" spans="1:10" ht="36" customHeight="1" x14ac:dyDescent="0.25">
      <c r="A46" s="5" t="s">
        <v>77</v>
      </c>
      <c r="B46" s="21">
        <v>0.08</v>
      </c>
      <c r="C46" s="5"/>
      <c r="D46" s="14" t="s">
        <v>520</v>
      </c>
      <c r="E46" s="5"/>
      <c r="F46" s="5"/>
      <c r="G46" s="5" t="s">
        <v>521</v>
      </c>
      <c r="H46" s="9">
        <v>0.11</v>
      </c>
      <c r="I46" s="5" t="s">
        <v>522</v>
      </c>
      <c r="J46" s="5"/>
    </row>
    <row r="47" spans="1:10" ht="36" customHeight="1" x14ac:dyDescent="0.25">
      <c r="A47" s="5" t="s">
        <v>523</v>
      </c>
      <c r="B47" s="25">
        <f>(B31+B38)*B46</f>
        <v>0</v>
      </c>
      <c r="C47" s="5"/>
      <c r="D47" s="5"/>
      <c r="E47" s="5"/>
      <c r="F47" s="5"/>
      <c r="G47" s="5" t="s">
        <v>524</v>
      </c>
      <c r="H47" s="54">
        <v>1200</v>
      </c>
      <c r="I47" s="5" t="s">
        <v>525</v>
      </c>
      <c r="J47" s="5"/>
    </row>
    <row r="48" spans="1:10" ht="21.95" customHeight="1" x14ac:dyDescent="0.25">
      <c r="A48" s="5"/>
      <c r="B48" s="5"/>
      <c r="C48" s="5"/>
      <c r="D48" s="5"/>
      <c r="E48" s="5"/>
      <c r="F48" s="5"/>
      <c r="G48" s="5" t="s">
        <v>526</v>
      </c>
      <c r="H48" s="56">
        <v>0.25</v>
      </c>
      <c r="I48" s="5" t="s">
        <v>527</v>
      </c>
      <c r="J48" s="5"/>
    </row>
    <row r="49" spans="1:10" ht="21.95" customHeight="1" x14ac:dyDescent="0.25">
      <c r="A49" s="15" t="s">
        <v>78</v>
      </c>
      <c r="B49" s="16"/>
      <c r="C49" s="16"/>
      <c r="D49" s="16"/>
      <c r="E49" s="16"/>
      <c r="F49" s="16"/>
      <c r="G49" s="16" t="s">
        <v>528</v>
      </c>
      <c r="H49" s="19">
        <v>100</v>
      </c>
      <c r="I49" s="5" t="s">
        <v>529</v>
      </c>
      <c r="J49" s="5"/>
    </row>
    <row r="50" spans="1:10" ht="36" customHeight="1" x14ac:dyDescent="0.25">
      <c r="A50" s="5" t="s">
        <v>79</v>
      </c>
      <c r="B50" s="23">
        <v>4</v>
      </c>
      <c r="C50" s="5"/>
      <c r="D50" s="14" t="s">
        <v>530</v>
      </c>
      <c r="E50" s="5"/>
      <c r="F50" s="5"/>
      <c r="G50" s="5" t="s">
        <v>531</v>
      </c>
      <c r="H50" s="9">
        <v>80</v>
      </c>
      <c r="I50" s="5" t="s">
        <v>532</v>
      </c>
      <c r="J50" s="5"/>
    </row>
    <row r="51" spans="1:10" ht="36" customHeight="1" x14ac:dyDescent="0.25">
      <c r="A51" s="5" t="s">
        <v>80</v>
      </c>
      <c r="B51" s="21">
        <v>0.03</v>
      </c>
      <c r="C51" s="5"/>
      <c r="D51" s="14" t="s">
        <v>533</v>
      </c>
      <c r="E51" s="5"/>
      <c r="F51" s="5"/>
      <c r="G51" s="5" t="s">
        <v>534</v>
      </c>
      <c r="H51" s="24">
        <f>H49-H50</f>
        <v>20</v>
      </c>
      <c r="I51" s="5" t="s">
        <v>535</v>
      </c>
      <c r="J51" s="5"/>
    </row>
    <row r="52" spans="1:10" ht="21.95" customHeight="1" x14ac:dyDescent="0.25">
      <c r="A52" s="5" t="s">
        <v>81</v>
      </c>
      <c r="B52" s="30">
        <v>2</v>
      </c>
      <c r="C52" s="14" t="s">
        <v>66</v>
      </c>
      <c r="D52" s="5"/>
      <c r="E52" s="5"/>
      <c r="F52" s="5"/>
      <c r="G52" s="5"/>
      <c r="H52" s="5"/>
      <c r="I52" s="5"/>
      <c r="J52" s="5"/>
    </row>
    <row r="53" spans="1:10" ht="21.95" customHeight="1" x14ac:dyDescent="0.25">
      <c r="A53" s="5" t="s">
        <v>82</v>
      </c>
      <c r="B53" s="30">
        <v>10</v>
      </c>
      <c r="C53" s="14" t="s">
        <v>66</v>
      </c>
      <c r="D53" s="5"/>
      <c r="E53" s="5"/>
      <c r="F53" s="5"/>
      <c r="G53" s="5"/>
      <c r="H53" s="5"/>
      <c r="I53" s="5"/>
      <c r="J53" s="5"/>
    </row>
    <row r="54" spans="1:10" ht="21.95" customHeight="1" x14ac:dyDescent="0.25">
      <c r="A54" s="5" t="s">
        <v>83</v>
      </c>
      <c r="B54" s="31">
        <f>B9*B51*(B52/60)*B50</f>
        <v>4.8</v>
      </c>
      <c r="C54" s="5"/>
      <c r="D54" s="5"/>
      <c r="E54" s="5"/>
      <c r="F54" s="5"/>
      <c r="G54" s="5"/>
      <c r="H54" s="5"/>
      <c r="I54" s="5"/>
      <c r="J54" s="5"/>
    </row>
    <row r="55" spans="1:10" ht="36" customHeight="1" x14ac:dyDescent="0.25">
      <c r="A55" s="5" t="s">
        <v>84</v>
      </c>
      <c r="B55" s="31">
        <f>IF(B6="B",B12*(B53/60)*B50,0)</f>
        <v>0</v>
      </c>
      <c r="C55" s="5"/>
      <c r="D55" s="14" t="s">
        <v>536</v>
      </c>
      <c r="E55" s="5"/>
      <c r="F55" s="5"/>
      <c r="G55" s="5"/>
      <c r="H55" s="5"/>
      <c r="I55" s="5"/>
      <c r="J55" s="5"/>
    </row>
    <row r="56" spans="1:10" ht="21.95" customHeight="1" x14ac:dyDescent="0.25">
      <c r="A56" s="13" t="s">
        <v>85</v>
      </c>
      <c r="B56" s="32">
        <f>B54+B55</f>
        <v>4.8</v>
      </c>
      <c r="C56" s="5"/>
      <c r="D56" s="5"/>
      <c r="E56" s="5"/>
      <c r="F56" s="5"/>
      <c r="G56" s="5"/>
      <c r="H56" s="5"/>
      <c r="I56" s="5"/>
      <c r="J56" s="5"/>
    </row>
    <row r="57" spans="1:10" ht="21.9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1.95" customHeight="1" x14ac:dyDescent="0.25">
      <c r="A58" s="15" t="s">
        <v>86</v>
      </c>
      <c r="B58" s="16"/>
      <c r="C58" s="16"/>
      <c r="D58" s="16"/>
      <c r="E58" s="16"/>
      <c r="F58" s="16"/>
      <c r="G58" s="16"/>
      <c r="H58" s="16"/>
      <c r="I58" s="5"/>
      <c r="J58" s="5"/>
    </row>
    <row r="59" spans="1:10" ht="36" customHeight="1" x14ac:dyDescent="0.25">
      <c r="A59" s="5" t="s">
        <v>87</v>
      </c>
      <c r="B59" s="23">
        <v>30</v>
      </c>
      <c r="C59" s="5"/>
      <c r="D59" s="14" t="s">
        <v>537</v>
      </c>
      <c r="E59" s="5"/>
      <c r="F59" s="5"/>
      <c r="G59" s="5"/>
      <c r="H59" s="5"/>
      <c r="I59" s="5"/>
      <c r="J59" s="5"/>
    </row>
    <row r="60" spans="1:10" ht="21.9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1.95" customHeight="1" x14ac:dyDescent="0.25">
      <c r="A61" s="15" t="s">
        <v>88</v>
      </c>
      <c r="B61" s="16"/>
      <c r="C61" s="16"/>
      <c r="D61" s="16"/>
      <c r="E61" s="16"/>
      <c r="F61" s="16"/>
      <c r="G61" s="16"/>
      <c r="H61" s="16"/>
      <c r="I61" s="5"/>
      <c r="J61" s="5"/>
    </row>
    <row r="62" spans="1:10" ht="36" customHeight="1" x14ac:dyDescent="0.25">
      <c r="A62" s="5" t="s">
        <v>89</v>
      </c>
      <c r="B62" s="31">
        <f>B9*(B31+B38+B43+B47)</f>
        <v>46.415999999999997</v>
      </c>
      <c r="C62" s="5"/>
      <c r="D62" s="5"/>
      <c r="E62" s="5"/>
      <c r="F62" s="5"/>
      <c r="G62" s="5"/>
      <c r="H62" s="5"/>
      <c r="I62" s="5"/>
      <c r="J62" s="5"/>
    </row>
    <row r="63" spans="1:10" ht="21.95" customHeight="1" x14ac:dyDescent="0.25">
      <c r="A63" s="5" t="s">
        <v>90</v>
      </c>
      <c r="B63" s="31">
        <f>B56</f>
        <v>4.8</v>
      </c>
      <c r="C63" s="5"/>
      <c r="D63" s="5"/>
      <c r="E63" s="5"/>
      <c r="F63" s="5"/>
      <c r="G63" s="5"/>
      <c r="H63" s="5"/>
      <c r="I63" s="5"/>
      <c r="J63" s="5"/>
    </row>
    <row r="64" spans="1:10" ht="21.95" customHeight="1" x14ac:dyDescent="0.25">
      <c r="A64" s="5" t="s">
        <v>91</v>
      </c>
      <c r="B64" s="31">
        <f>B59</f>
        <v>30</v>
      </c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5" t="s">
        <v>92</v>
      </c>
      <c r="B65" s="31">
        <f>B62+B63+B64</f>
        <v>81.215999999999994</v>
      </c>
      <c r="C65" s="5"/>
      <c r="D65" s="5"/>
      <c r="E65" s="5"/>
      <c r="F65" s="5"/>
      <c r="G65" s="5"/>
      <c r="H65" s="5"/>
      <c r="I65" s="5"/>
      <c r="J65" s="5"/>
    </row>
    <row r="66" spans="1:10" ht="21.95" customHeight="1" x14ac:dyDescent="0.25">
      <c r="A66" s="13" t="s">
        <v>93</v>
      </c>
      <c r="B66" s="26">
        <f>IF(B11=0,0,(B62+B63)/B11)</f>
        <v>5.0211764705882345E-2</v>
      </c>
      <c r="C66" s="14" t="s">
        <v>94</v>
      </c>
      <c r="D66" s="14" t="s">
        <v>95</v>
      </c>
      <c r="E66" s="5"/>
      <c r="F66" s="5"/>
      <c r="G66" s="5"/>
      <c r="H66" s="5"/>
      <c r="I66" s="5"/>
      <c r="J66" s="5"/>
    </row>
    <row r="67" spans="1:10" ht="21.95" customHeight="1" x14ac:dyDescent="0.25">
      <c r="A67" s="13" t="s">
        <v>96</v>
      </c>
      <c r="B67" s="26">
        <f>IF(B11=0,0,B65/B11)</f>
        <v>7.9623529411764704E-2</v>
      </c>
      <c r="C67" s="14" t="s">
        <v>94</v>
      </c>
      <c r="D67" s="5"/>
      <c r="E67" s="5"/>
      <c r="F67" s="5"/>
      <c r="G67" s="5"/>
      <c r="H67" s="5"/>
      <c r="I67" s="5"/>
      <c r="J67" s="5"/>
    </row>
    <row r="68" spans="1:10" ht="36" customHeight="1" x14ac:dyDescent="0.25">
      <c r="A68" s="5" t="s">
        <v>97</v>
      </c>
      <c r="B68" s="20">
        <v>26000</v>
      </c>
      <c r="C68" s="14" t="s">
        <v>98</v>
      </c>
      <c r="D68" s="14" t="s">
        <v>538</v>
      </c>
      <c r="E68" s="5"/>
      <c r="F68" s="5"/>
      <c r="G68" s="5"/>
      <c r="H68" s="5"/>
      <c r="I68" s="5"/>
      <c r="J68" s="5"/>
    </row>
    <row r="69" spans="1:10" ht="21.95" customHeight="1" x14ac:dyDescent="0.25">
      <c r="A69" s="5" t="s">
        <v>99</v>
      </c>
      <c r="B69" s="33">
        <f>B66*B68</f>
        <v>1305.5058823529409</v>
      </c>
      <c r="C69" s="14" t="s">
        <v>100</v>
      </c>
      <c r="D69" s="5"/>
      <c r="E69" s="5"/>
      <c r="F69" s="5"/>
      <c r="G69" s="5"/>
      <c r="H69" s="5"/>
      <c r="I69" s="5"/>
      <c r="J69" s="5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15" t="s">
        <v>101</v>
      </c>
      <c r="B71" s="16"/>
      <c r="C71" s="16"/>
      <c r="D71" s="16"/>
      <c r="E71" s="16"/>
      <c r="F71" s="16"/>
      <c r="G71" s="16"/>
      <c r="H71" s="16"/>
      <c r="I71" s="5"/>
      <c r="J71" s="5"/>
    </row>
    <row r="72" spans="1:10" ht="21.95" customHeight="1" x14ac:dyDescent="0.25">
      <c r="A72" s="5" t="s">
        <v>102</v>
      </c>
      <c r="B72" s="31">
        <f>B9*B31</f>
        <v>0</v>
      </c>
      <c r="C72" s="27">
        <f t="shared" ref="C72:C77" si="0">IF($B$65=0,0,B72/$B$65)</f>
        <v>0</v>
      </c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5" t="s">
        <v>103</v>
      </c>
      <c r="B73" s="31">
        <f>B9*B38</f>
        <v>0</v>
      </c>
      <c r="C73" s="27">
        <f t="shared" si="0"/>
        <v>0</v>
      </c>
      <c r="D73" s="5"/>
      <c r="E73" s="5"/>
      <c r="F73" s="5"/>
      <c r="G73" s="5"/>
      <c r="H73" s="5"/>
      <c r="I73" s="5"/>
      <c r="J73" s="5"/>
    </row>
    <row r="74" spans="1:10" ht="21.95" customHeight="1" x14ac:dyDescent="0.25">
      <c r="A74" s="5" t="s">
        <v>539</v>
      </c>
      <c r="B74" s="31">
        <f>B9*B43</f>
        <v>46.415999999999997</v>
      </c>
      <c r="C74" s="27">
        <f t="shared" si="0"/>
        <v>0.57151300236406621</v>
      </c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5" t="s">
        <v>104</v>
      </c>
      <c r="B75" s="31">
        <f>B9*B47</f>
        <v>0</v>
      </c>
      <c r="C75" s="27">
        <f t="shared" si="0"/>
        <v>0</v>
      </c>
      <c r="D75" s="5"/>
      <c r="E75" s="5"/>
      <c r="F75" s="5"/>
      <c r="G75" s="5"/>
      <c r="H75" s="5"/>
      <c r="I75" s="5"/>
      <c r="J75" s="5"/>
    </row>
    <row r="76" spans="1:10" ht="21.95" customHeight="1" x14ac:dyDescent="0.25">
      <c r="A76" s="5" t="s">
        <v>105</v>
      </c>
      <c r="B76" s="31">
        <f>B56</f>
        <v>4.8</v>
      </c>
      <c r="C76" s="27">
        <f t="shared" si="0"/>
        <v>5.9101654846335699E-2</v>
      </c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5" t="s">
        <v>106</v>
      </c>
      <c r="B77" s="31">
        <f>B59</f>
        <v>30</v>
      </c>
      <c r="C77" s="27">
        <f t="shared" si="0"/>
        <v>0.36938534278959811</v>
      </c>
      <c r="D77" s="5"/>
      <c r="E77" s="5"/>
      <c r="F77" s="5"/>
      <c r="G77" s="5"/>
      <c r="H77" s="5"/>
      <c r="I77" s="5"/>
      <c r="J77" s="5"/>
    </row>
    <row r="78" spans="1:10" ht="36" customHeight="1" x14ac:dyDescent="0.25">
      <c r="A78" s="14" t="s">
        <v>107</v>
      </c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4">
    <dataValidation type="list" allowBlank="1" sqref="B6" xr:uid="{00000000-0002-0000-0100-000000000000}">
      <formula1>"A,B"</formula1>
    </dataValidation>
    <dataValidation type="whole" sqref="H5" xr:uid="{00000000-0002-0000-0100-000001000000}">
      <formula1>1</formula1>
      <formula2>1000</formula2>
    </dataValidation>
    <dataValidation type="whole" sqref="B9" xr:uid="{00000000-0002-0000-0100-000002000000}">
      <formula1>1</formula1>
      <formula2>1200</formula2>
    </dataValidation>
    <dataValidation type="decimal" sqref="B10" xr:uid="{00000000-0002-0000-0100-000003000000}">
      <formula1>0</formula1>
      <formula2>1</formula2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/>
  </sheetViews>
  <sheetFormatPr defaultColWidth="14.42578125" defaultRowHeight="15" x14ac:dyDescent="0.25"/>
  <cols>
    <col min="1" max="1" width="58" customWidth="1"/>
    <col min="2" max="2" width="32" customWidth="1"/>
    <col min="3" max="3" width="24" customWidth="1"/>
    <col min="4" max="4" width="64" customWidth="1"/>
    <col min="5" max="6" width="4" customWidth="1"/>
    <col min="7" max="7" width="48" customWidth="1"/>
    <col min="8" max="8" width="32" customWidth="1"/>
    <col min="9" max="9" width="64" customWidth="1"/>
    <col min="10" max="10" width="35" customWidth="1"/>
    <col min="11" max="26" width="8.7109375" customWidth="1"/>
  </cols>
  <sheetData>
    <row r="1" spans="1:10" ht="32.1" customHeight="1" x14ac:dyDescent="0.25">
      <c r="A1" s="1" t="s">
        <v>108</v>
      </c>
      <c r="B1" s="3"/>
      <c r="C1" s="3"/>
      <c r="D1" s="3"/>
      <c r="E1" s="3"/>
      <c r="F1" s="3"/>
      <c r="G1" s="3"/>
      <c r="H1" s="3"/>
      <c r="I1" s="4"/>
      <c r="J1" s="4"/>
    </row>
    <row r="2" spans="1:10" x14ac:dyDescent="0.25">
      <c r="A2" s="2" t="s">
        <v>109</v>
      </c>
      <c r="B2" s="4"/>
      <c r="C2" s="4"/>
      <c r="D2" s="4"/>
      <c r="E2" s="4"/>
      <c r="F2" s="4"/>
      <c r="G2" s="4"/>
      <c r="H2" s="4"/>
      <c r="I2" s="4"/>
      <c r="J2" s="4"/>
    </row>
    <row r="3" spans="1:10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1.95" customHeight="1" x14ac:dyDescent="0.25">
      <c r="A4" s="15" t="s">
        <v>110</v>
      </c>
      <c r="B4" s="16"/>
      <c r="C4" s="16"/>
      <c r="D4" s="16"/>
      <c r="E4" s="16"/>
      <c r="F4" s="16"/>
      <c r="G4" s="17" t="s">
        <v>540</v>
      </c>
      <c r="H4" s="17"/>
      <c r="I4" s="7"/>
      <c r="J4" s="7"/>
    </row>
    <row r="5" spans="1:10" ht="21.95" customHeight="1" x14ac:dyDescent="0.25">
      <c r="A5" s="5" t="s">
        <v>111</v>
      </c>
      <c r="B5" s="34">
        <f>'1_Cost_Job'!B66</f>
        <v>5.0211764705882345E-2</v>
      </c>
      <c r="C5" s="14" t="s">
        <v>94</v>
      </c>
      <c r="D5" s="5"/>
      <c r="E5" s="5"/>
      <c r="F5" s="5"/>
      <c r="G5" s="5" t="s">
        <v>518</v>
      </c>
      <c r="H5" s="58">
        <f>'1_Cost_Job'!H45</f>
        <v>30</v>
      </c>
      <c r="I5" s="5" t="s">
        <v>541</v>
      </c>
      <c r="J5" s="5"/>
    </row>
    <row r="6" spans="1:10" ht="21.95" customHeight="1" x14ac:dyDescent="0.25">
      <c r="A6" s="5" t="s">
        <v>112</v>
      </c>
      <c r="B6" s="30">
        <v>3</v>
      </c>
      <c r="C6" s="14" t="s">
        <v>113</v>
      </c>
      <c r="D6" s="14" t="s">
        <v>114</v>
      </c>
      <c r="E6" s="5"/>
      <c r="F6" s="5"/>
      <c r="G6" s="5" t="s">
        <v>521</v>
      </c>
      <c r="H6" s="58">
        <f>'1_Cost_Job'!H46</f>
        <v>0.11</v>
      </c>
      <c r="I6" s="5" t="s">
        <v>542</v>
      </c>
      <c r="J6" s="5"/>
    </row>
    <row r="7" spans="1:10" ht="21.95" customHeight="1" x14ac:dyDescent="0.25">
      <c r="A7" s="13" t="s">
        <v>115</v>
      </c>
      <c r="B7" s="26">
        <f>B5*B6</f>
        <v>0.15063529411764703</v>
      </c>
      <c r="C7" s="14" t="s">
        <v>94</v>
      </c>
      <c r="D7" s="5"/>
      <c r="E7" s="5"/>
      <c r="F7" s="5"/>
      <c r="G7" s="5" t="s">
        <v>543</v>
      </c>
      <c r="H7" s="60">
        <f>'1_Cost_Job'!B9</f>
        <v>1200</v>
      </c>
      <c r="I7" s="5" t="s">
        <v>544</v>
      </c>
      <c r="J7" s="5"/>
    </row>
    <row r="8" spans="1:10" ht="21.95" customHeight="1" x14ac:dyDescent="0.25">
      <c r="A8" s="5"/>
      <c r="B8" s="5"/>
      <c r="C8" s="5"/>
      <c r="D8" s="5"/>
      <c r="E8" s="5"/>
      <c r="F8" s="5"/>
      <c r="G8" s="5" t="s">
        <v>545</v>
      </c>
      <c r="H8" s="51">
        <f>H5+H6*H7</f>
        <v>162</v>
      </c>
      <c r="I8" s="5" t="s">
        <v>546</v>
      </c>
      <c r="J8" s="5"/>
    </row>
    <row r="9" spans="1:10" ht="21.95" customHeight="1" x14ac:dyDescent="0.25">
      <c r="A9" s="15" t="s">
        <v>116</v>
      </c>
      <c r="B9" s="16"/>
      <c r="C9" s="16"/>
      <c r="D9" s="16"/>
      <c r="E9" s="16"/>
      <c r="F9" s="16"/>
      <c r="G9" s="16" t="s">
        <v>547</v>
      </c>
      <c r="H9" s="61">
        <f>'1_Cost_Job'!B11</f>
        <v>1020</v>
      </c>
      <c r="I9" s="5" t="s">
        <v>548</v>
      </c>
      <c r="J9" s="5"/>
    </row>
    <row r="10" spans="1:10" ht="21.95" customHeight="1" x14ac:dyDescent="0.25">
      <c r="A10" s="5" t="s">
        <v>117</v>
      </c>
      <c r="B10" s="35">
        <f>'1_Cost_Job'!H44</f>
        <v>680</v>
      </c>
      <c r="C10" s="5"/>
      <c r="D10" s="14" t="s">
        <v>118</v>
      </c>
      <c r="E10" s="5"/>
      <c r="F10" s="5"/>
      <c r="G10" s="5" t="s">
        <v>493</v>
      </c>
      <c r="H10" s="58">
        <f>'1_Cost_Job'!H32</f>
        <v>51.215999999999994</v>
      </c>
      <c r="I10" s="5"/>
      <c r="J10" s="5"/>
    </row>
    <row r="11" spans="1:10" ht="21.95" customHeight="1" x14ac:dyDescent="0.25">
      <c r="A11" s="5" t="s">
        <v>119</v>
      </c>
      <c r="B11" s="20">
        <f>'1_Cost_Job'!B11</f>
        <v>1020</v>
      </c>
      <c r="C11" s="14" t="s">
        <v>34</v>
      </c>
      <c r="D11" s="5"/>
      <c r="E11" s="5"/>
      <c r="F11" s="5"/>
      <c r="G11" s="5" t="s">
        <v>549</v>
      </c>
      <c r="H11" s="51">
        <f>H8-H10</f>
        <v>110.78400000000001</v>
      </c>
      <c r="I11" s="5"/>
      <c r="J11" s="5"/>
    </row>
    <row r="12" spans="1:10" ht="21.95" customHeight="1" x14ac:dyDescent="0.25">
      <c r="A12" s="5" t="s">
        <v>120</v>
      </c>
      <c r="B12" s="25">
        <f>IF(B11=0,0,B10*0.1/B11)</f>
        <v>6.6666666666666666E-2</v>
      </c>
      <c r="C12" s="14" t="s">
        <v>94</v>
      </c>
      <c r="D12" s="5"/>
      <c r="E12" s="5"/>
      <c r="F12" s="5"/>
      <c r="G12" s="5" t="s">
        <v>550</v>
      </c>
      <c r="H12" s="57">
        <f>H11/H8</f>
        <v>0.68385185185185193</v>
      </c>
      <c r="I12" s="5" t="s">
        <v>551</v>
      </c>
      <c r="J12" s="5"/>
    </row>
    <row r="13" spans="1:10" ht="21.95" customHeight="1" x14ac:dyDescent="0.25">
      <c r="A13" s="5" t="s">
        <v>121</v>
      </c>
      <c r="B13" s="25">
        <f>IF(B11=0,0,B10*0.25/B11)</f>
        <v>0.16666666666666666</v>
      </c>
      <c r="C13" s="14" t="s">
        <v>94</v>
      </c>
      <c r="D13" s="5"/>
      <c r="E13" s="5"/>
      <c r="F13" s="5"/>
      <c r="G13" s="5" t="s">
        <v>552</v>
      </c>
      <c r="H13" s="58">
        <f>H11-'1_Cost_Job'!B59</f>
        <v>80.784000000000006</v>
      </c>
      <c r="I13" s="5" t="s">
        <v>553</v>
      </c>
      <c r="J13" s="5"/>
    </row>
    <row r="14" spans="1:10" ht="21.95" customHeight="1" x14ac:dyDescent="0.25">
      <c r="A14" s="5" t="s">
        <v>122</v>
      </c>
      <c r="B14" s="35">
        <v>704</v>
      </c>
      <c r="C14" s="5"/>
      <c r="D14" s="14" t="s">
        <v>123</v>
      </c>
      <c r="E14" s="5"/>
      <c r="F14" s="5"/>
      <c r="G14" s="5" t="s">
        <v>554</v>
      </c>
      <c r="H14" s="63">
        <f>H8/'1_Cost_Job'!H44</f>
        <v>0.23823529411764705</v>
      </c>
      <c r="I14" s="5" t="s">
        <v>555</v>
      </c>
      <c r="J14" s="5"/>
    </row>
    <row r="15" spans="1:10" ht="21.95" customHeight="1" x14ac:dyDescent="0.25">
      <c r="A15" s="5" t="s">
        <v>124</v>
      </c>
      <c r="B15" s="25">
        <f>IF(B11=0,0,B14*0.5/B11)</f>
        <v>0.34509803921568627</v>
      </c>
      <c r="C15" s="14" t="s">
        <v>94</v>
      </c>
      <c r="D15" s="5"/>
      <c r="E15" s="5"/>
      <c r="F15" s="5"/>
      <c r="G15" s="5"/>
      <c r="H15" s="52"/>
      <c r="I15" s="5"/>
      <c r="J15" s="5"/>
    </row>
    <row r="16" spans="1:10" ht="21.95" customHeight="1" x14ac:dyDescent="0.25">
      <c r="A16" s="5" t="s">
        <v>125</v>
      </c>
      <c r="B16" s="25">
        <f>IF(B11=0,0,B14*0.7/B11)</f>
        <v>0.48313725490196074</v>
      </c>
      <c r="C16" s="14" t="s">
        <v>94</v>
      </c>
      <c r="D16" s="5"/>
      <c r="E16" s="5"/>
      <c r="F16" s="5"/>
      <c r="G16" s="5" t="s">
        <v>556</v>
      </c>
      <c r="H16" s="58">
        <f>'1_Cost_Job'!H6/'1_Cost_Job'!H5+'1_Cost_Job'!H7+'1_Cost_Job'!H8</f>
        <v>14.4</v>
      </c>
      <c r="I16" s="5" t="s">
        <v>557</v>
      </c>
      <c r="J16" s="5"/>
    </row>
    <row r="17" spans="1:10" ht="21.95" customHeight="1" x14ac:dyDescent="0.25">
      <c r="A17" s="5"/>
      <c r="B17" s="5"/>
      <c r="C17" s="5"/>
      <c r="D17" s="5"/>
      <c r="E17" s="5"/>
      <c r="F17" s="5"/>
      <c r="G17" s="5" t="s">
        <v>558</v>
      </c>
      <c r="H17" s="58">
        <f>'1_Cost_Job'!H18+'1_Cost_Job'!H19+'1_Cost_Job'!H22+'1_Cost_Job'!H23+B30+B31*(1-B34)</f>
        <v>3.0680000000000002E-2</v>
      </c>
      <c r="I17" s="5" t="s">
        <v>559</v>
      </c>
      <c r="J17" s="5"/>
    </row>
    <row r="18" spans="1:10" ht="21.95" customHeight="1" x14ac:dyDescent="0.25">
      <c r="A18" s="15" t="s">
        <v>126</v>
      </c>
      <c r="B18" s="16"/>
      <c r="C18" s="16"/>
      <c r="D18" s="16"/>
      <c r="E18" s="16"/>
      <c r="F18" s="16"/>
      <c r="G18" s="16" t="s">
        <v>560</v>
      </c>
      <c r="H18" s="53">
        <f>H10-(H16+H17*H7)</f>
        <v>0</v>
      </c>
      <c r="I18" s="5"/>
      <c r="J18" s="5"/>
    </row>
    <row r="19" spans="1:10" ht="36" customHeight="1" x14ac:dyDescent="0.25">
      <c r="A19" s="5" t="s">
        <v>561</v>
      </c>
      <c r="B19" s="29">
        <f>H8/H9</f>
        <v>0.1588235294117647</v>
      </c>
      <c r="C19" s="14" t="s">
        <v>94</v>
      </c>
      <c r="D19" s="14" t="s">
        <v>562</v>
      </c>
      <c r="E19" s="5"/>
      <c r="F19" s="5"/>
      <c r="G19" s="5"/>
      <c r="H19" s="52"/>
      <c r="I19" s="5"/>
      <c r="J19" s="5"/>
    </row>
    <row r="20" spans="1:10" ht="21.95" customHeight="1" x14ac:dyDescent="0.25">
      <c r="A20" s="5" t="s">
        <v>127</v>
      </c>
      <c r="B20" s="36">
        <f>IF(B5=0,0,B19/B5)</f>
        <v>3.1630740393626997</v>
      </c>
      <c r="C20" s="5"/>
      <c r="D20" s="5"/>
      <c r="E20" s="5"/>
      <c r="F20" s="5"/>
      <c r="G20" s="5" t="s">
        <v>563</v>
      </c>
      <c r="H20" s="62">
        <f>MAX(0,(H16-(1-B32)*H5)/((1-B32)*H6-H17))</f>
        <v>180.18018018018017</v>
      </c>
      <c r="I20" s="5" t="s">
        <v>564</v>
      </c>
      <c r="J20" s="5"/>
    </row>
    <row r="21" spans="1:10" ht="21.95" customHeight="1" x14ac:dyDescent="0.25">
      <c r="A21" s="13" t="s">
        <v>128</v>
      </c>
      <c r="B21" s="37">
        <f>IF(B19=0,0,(B19-B5)/B19)</f>
        <v>0.68385185185185193</v>
      </c>
      <c r="C21" s="5"/>
      <c r="D21" s="5"/>
      <c r="E21" s="5"/>
      <c r="F21" s="5"/>
      <c r="G21" s="5" t="s">
        <v>565</v>
      </c>
      <c r="H21" s="51">
        <f>H6*(1-B32)-H17</f>
        <v>1.3320000000000002E-2</v>
      </c>
      <c r="I21" s="5" t="s">
        <v>566</v>
      </c>
      <c r="J21" s="5"/>
    </row>
    <row r="22" spans="1:10" ht="21.95" customHeight="1" x14ac:dyDescent="0.25">
      <c r="A22" s="5" t="s">
        <v>129</v>
      </c>
      <c r="B22" s="10" t="str">
        <f>IF(B20&gt;=B6,"OK — ĐẠT","KHÔNG ĐẠT — quay lại tab 1")</f>
        <v>OK — ĐẠT</v>
      </c>
      <c r="C22" s="5"/>
      <c r="D22" s="5"/>
      <c r="E22" s="5"/>
      <c r="F22" s="5"/>
      <c r="G22" s="5" t="s">
        <v>567</v>
      </c>
      <c r="H22" s="62">
        <f>IF(H21&lt;=0,"Không khả thi",ROUNDUP(H20,0))</f>
        <v>181</v>
      </c>
      <c r="I22" s="5" t="s">
        <v>802</v>
      </c>
      <c r="J22" s="5"/>
    </row>
    <row r="23" spans="1:10" ht="36" customHeight="1" x14ac:dyDescent="0.25">
      <c r="A23" s="5" t="s">
        <v>130</v>
      </c>
      <c r="B23" s="10" t="str">
        <f>IF(B21&gt;=0.6,"OK — AN TOÀN (≥60%)",IF(B21&gt;=0.5,"CẢNH BÁO (50–60%)","NGUY HIỂM (&lt;50%)"))</f>
        <v>OK — AN TOÀN (≥60%)</v>
      </c>
      <c r="C23" s="5"/>
      <c r="D23" s="5"/>
      <c r="E23" s="5"/>
      <c r="F23" s="5"/>
      <c r="G23" s="5" t="s">
        <v>568</v>
      </c>
      <c r="H23" s="50" t="s">
        <v>569</v>
      </c>
      <c r="I23" s="5" t="s">
        <v>570</v>
      </c>
      <c r="J23" s="5"/>
    </row>
    <row r="24" spans="1:10" ht="21.95" customHeight="1" x14ac:dyDescent="0.25">
      <c r="A24" s="5" t="s">
        <v>131</v>
      </c>
      <c r="B24" s="10" t="str">
        <f>IF(B21&gt;0.85,"NGHI NGỜ — nhiều khả năng bạn quên một khoản chi phí","OK")</f>
        <v>OK</v>
      </c>
      <c r="C24" s="5"/>
      <c r="D24" s="5"/>
      <c r="E24" s="5"/>
      <c r="F24" s="5"/>
      <c r="G24" s="5" t="s">
        <v>571</v>
      </c>
      <c r="H24" s="63">
        <f>H8/(H7*'1_Cost_Job'!H42/60*'1_Cost_Job'!H43*'1_Cost_Job'!H48)</f>
        <v>0.81</v>
      </c>
      <c r="I24" s="5" t="s">
        <v>572</v>
      </c>
      <c r="J24" s="5"/>
    </row>
    <row r="25" spans="1:10" ht="21.95" customHeight="1" x14ac:dyDescent="0.25">
      <c r="A25" s="5" t="s">
        <v>132</v>
      </c>
      <c r="B25" s="10" t="str">
        <f>IF(AND(B19&gt;=B7,B19&lt;=MAX(B13,B16)),"OK — trong vùng giá bán","XEM LẠI — ngoài vùng giá sàn/trần")</f>
        <v>OK — trong vùng giá bán</v>
      </c>
      <c r="C25" s="5"/>
      <c r="D25" s="5"/>
      <c r="E25" s="5"/>
      <c r="F25" s="5"/>
      <c r="G25" s="5" t="s">
        <v>573</v>
      </c>
      <c r="H25" s="63">
        <f>'1_Cost_Job'!B10</f>
        <v>0.85</v>
      </c>
      <c r="I25" s="5" t="s">
        <v>574</v>
      </c>
      <c r="J25" s="5"/>
    </row>
    <row r="26" spans="1:10" ht="21.95" customHeight="1" x14ac:dyDescent="0.25">
      <c r="A26" s="5"/>
      <c r="B26" s="5"/>
      <c r="C26" s="5"/>
      <c r="D26" s="5"/>
      <c r="E26" s="5"/>
      <c r="F26" s="5"/>
      <c r="G26" s="5"/>
      <c r="H26" s="52"/>
      <c r="I26" s="5"/>
      <c r="J26" s="5"/>
    </row>
    <row r="27" spans="1:10" ht="36" customHeight="1" x14ac:dyDescent="0.25">
      <c r="A27" s="15" t="s">
        <v>575</v>
      </c>
      <c r="B27" s="16"/>
      <c r="C27" s="16"/>
      <c r="D27" s="16"/>
      <c r="E27" s="16"/>
      <c r="F27" s="16"/>
      <c r="G27" s="16" t="s">
        <v>576</v>
      </c>
      <c r="H27" s="59">
        <f>'1_Cost_Job'!H6/2+'1_Cost_Job'!H7+'1_Cost_Job'!H8+H17*H7</f>
        <v>75.216000000000008</v>
      </c>
      <c r="I27" s="5" t="s">
        <v>577</v>
      </c>
      <c r="J27" s="5"/>
    </row>
    <row r="28" spans="1:10" ht="36" customHeight="1" x14ac:dyDescent="0.25">
      <c r="A28" s="14" t="s">
        <v>133</v>
      </c>
      <c r="B28" s="5"/>
      <c r="C28" s="5"/>
      <c r="D28" s="5"/>
      <c r="E28" s="5"/>
      <c r="F28" s="5"/>
      <c r="G28" s="5" t="s">
        <v>578</v>
      </c>
      <c r="H28" s="57">
        <f>1-H27/H8</f>
        <v>0.53570370370370357</v>
      </c>
      <c r="I28" s="5" t="s">
        <v>579</v>
      </c>
      <c r="J28" s="5"/>
    </row>
    <row r="29" spans="1:10" ht="21.95" customHeight="1" x14ac:dyDescent="0.25">
      <c r="A29" s="5" t="s">
        <v>134</v>
      </c>
      <c r="B29" s="34">
        <f>'1_Cost_Job'!B31+'1_Cost_Job'!B38+'1_Cost_Job'!B43+'1_Cost_Job'!B47</f>
        <v>3.8679999999999999E-2</v>
      </c>
      <c r="C29" s="5"/>
      <c r="D29" s="5"/>
      <c r="E29" s="5"/>
      <c r="F29" s="5"/>
      <c r="G29" s="5" t="s">
        <v>580</v>
      </c>
      <c r="H29" s="60">
        <f>ROUNDUP('1_Cost_Job'!H6/((1-B32)*H8-'1_Cost_Job'!H7-'1_Cost_Job'!H8-H17*H7),0)</f>
        <v>4</v>
      </c>
      <c r="I29" s="5" t="s">
        <v>581</v>
      </c>
      <c r="J29" s="5"/>
    </row>
    <row r="30" spans="1:10" ht="21.95" customHeight="1" x14ac:dyDescent="0.25">
      <c r="A30" s="5" t="s">
        <v>135</v>
      </c>
      <c r="B30" s="34">
        <f>'1_Cost_Job'!B51*('1_Cost_Job'!B52/60)*'1_Cost_Job'!B50</f>
        <v>4.0000000000000001E-3</v>
      </c>
      <c r="C30" s="5"/>
      <c r="D30" s="5"/>
      <c r="E30" s="5"/>
      <c r="F30" s="5"/>
      <c r="G30" s="5"/>
      <c r="H30" s="52"/>
      <c r="I30" s="5"/>
      <c r="J30" s="5"/>
    </row>
    <row r="31" spans="1:10" ht="21.95" customHeight="1" x14ac:dyDescent="0.25">
      <c r="A31" s="5" t="s">
        <v>136</v>
      </c>
      <c r="B31" s="34">
        <f>IF('1_Cost_Job'!B6="B",('1_Cost_Job'!B53/60)*'1_Cost_Job'!B50,0)</f>
        <v>0</v>
      </c>
      <c r="C31" s="5"/>
      <c r="D31" s="5"/>
      <c r="E31" s="5"/>
      <c r="F31" s="5"/>
      <c r="G31" s="5" t="s">
        <v>582</v>
      </c>
      <c r="H31" s="58">
        <f>'1_Cost_Job'!H44*'1_Cost_Job'!H48</f>
        <v>170</v>
      </c>
      <c r="I31" s="5" t="s">
        <v>583</v>
      </c>
      <c r="J31" s="5"/>
    </row>
    <row r="32" spans="1:10" ht="21.95" customHeight="1" x14ac:dyDescent="0.25">
      <c r="A32" s="5" t="s">
        <v>137</v>
      </c>
      <c r="B32" s="21">
        <v>0.6</v>
      </c>
      <c r="C32" s="5"/>
      <c r="D32" s="5"/>
      <c r="E32" s="5"/>
      <c r="F32" s="5"/>
      <c r="G32" s="5" t="s">
        <v>584</v>
      </c>
      <c r="H32" s="51">
        <f>3*H10</f>
        <v>153.64799999999997</v>
      </c>
      <c r="I32" s="5"/>
      <c r="J32" s="5"/>
    </row>
    <row r="33" spans="1:10" ht="36" customHeight="1" x14ac:dyDescent="0.25">
      <c r="A33" s="13" t="s">
        <v>585</v>
      </c>
      <c r="B33" s="37">
        <f>IF((B19*(1-B32)+B31)=0,0,(B29+B30+B31)/(B19*(1-B32)+B31))</f>
        <v>0.67181481481481486</v>
      </c>
      <c r="C33" s="5"/>
      <c r="D33" s="14" t="s">
        <v>586</v>
      </c>
      <c r="E33" s="5"/>
      <c r="F33" s="5"/>
      <c r="G33" s="5" t="s">
        <v>587</v>
      </c>
      <c r="H33" s="51" t="str">
        <f>IF(H32&lt;=H31,"Có vùng giá","Chưa có vùng giá")</f>
        <v>Có vùng giá</v>
      </c>
      <c r="I33" s="5" t="s">
        <v>588</v>
      </c>
      <c r="J33" s="5"/>
    </row>
    <row r="34" spans="1:10" ht="21.95" customHeight="1" x14ac:dyDescent="0.25">
      <c r="A34" s="5" t="s">
        <v>138</v>
      </c>
      <c r="B34" s="38">
        <f>'1_Cost_Job'!B10</f>
        <v>0.85</v>
      </c>
      <c r="C34" s="5"/>
      <c r="D34" s="5"/>
      <c r="E34" s="5"/>
      <c r="F34" s="5"/>
      <c r="G34" s="5"/>
      <c r="H34" s="52"/>
      <c r="I34" s="5"/>
      <c r="J34" s="5"/>
    </row>
    <row r="35" spans="1:10" ht="36" customHeight="1" x14ac:dyDescent="0.25">
      <c r="A35" s="5" t="s">
        <v>589</v>
      </c>
      <c r="B35" s="10" t="str">
        <f>IF(B34&gt;=B33,"ĐẠT — mô hình có lãi lành mạnh","CHƯA ĐẠT — phải tăng containment, tăng giá, hoặc đổi biến thể HITL")</f>
        <v>ĐẠT — mô hình có lãi lành mạnh</v>
      </c>
      <c r="C35" s="5"/>
      <c r="D35" s="5"/>
      <c r="E35" s="5"/>
      <c r="F35" s="5"/>
      <c r="G35" s="5" t="s">
        <v>590</v>
      </c>
      <c r="H35" s="65">
        <v>1</v>
      </c>
      <c r="I35" s="5" t="s">
        <v>591</v>
      </c>
      <c r="J35" s="5"/>
    </row>
    <row r="36" spans="1:10" ht="21.95" customHeight="1" x14ac:dyDescent="0.25">
      <c r="A36" s="5"/>
      <c r="B36" s="5"/>
      <c r="C36" s="5"/>
      <c r="D36" s="5"/>
      <c r="E36" s="5"/>
      <c r="F36" s="5"/>
      <c r="G36" s="5" t="s">
        <v>592</v>
      </c>
      <c r="H36" s="58">
        <f>H10+('1_Cost_Job'!H28+'1_Cost_Job'!H29)*(H35-1)</f>
        <v>51.215999999999994</v>
      </c>
      <c r="I36" s="5" t="s">
        <v>593</v>
      </c>
      <c r="J36" s="5"/>
    </row>
    <row r="37" spans="1:10" ht="21.95" customHeight="1" x14ac:dyDescent="0.25">
      <c r="A37" s="15" t="s">
        <v>594</v>
      </c>
      <c r="B37" s="16"/>
      <c r="C37" s="16"/>
      <c r="D37" s="16"/>
      <c r="E37" s="16"/>
      <c r="F37" s="16"/>
      <c r="G37" s="16" t="s">
        <v>595</v>
      </c>
      <c r="H37" s="64">
        <f>1-H36/H8</f>
        <v>0.68385185185185193</v>
      </c>
      <c r="I37" s="5"/>
      <c r="J37" s="5"/>
    </row>
    <row r="38" spans="1:10" ht="21.95" customHeight="1" x14ac:dyDescent="0.25">
      <c r="A38" s="39" t="s">
        <v>139</v>
      </c>
      <c r="B38" s="39" t="s">
        <v>140</v>
      </c>
      <c r="C38" s="39" t="s">
        <v>141</v>
      </c>
      <c r="D38" s="39" t="s">
        <v>142</v>
      </c>
      <c r="E38" s="5"/>
      <c r="F38" s="5"/>
      <c r="G38" s="5"/>
      <c r="H38" s="52"/>
      <c r="I38" s="5"/>
      <c r="J38" s="5"/>
    </row>
    <row r="39" spans="1:10" ht="21.95" customHeight="1" x14ac:dyDescent="0.25">
      <c r="A39" s="40">
        <v>0.5</v>
      </c>
      <c r="B39" s="25">
        <f t="shared" ref="B39:B44" si="0">($B$29+$B$30+$B$31*(1-A39))/A39</f>
        <v>8.5359999999999991E-2</v>
      </c>
      <c r="C39" s="27">
        <f t="shared" ref="C39:C44" si="1">IF($B$19=0,0,1-B39/$B$19)</f>
        <v>0.46254814814814815</v>
      </c>
      <c r="D39" s="10" t="str">
        <f t="shared" ref="D39:D44" si="2">IF(C39&gt;=0.6,"An toàn",IF(C39&gt;=0.5,"Cảnh báo","Nguy hiểm"))</f>
        <v>Nguy hiểm</v>
      </c>
      <c r="E39" s="5"/>
      <c r="F39" s="5"/>
      <c r="G39" s="5" t="s">
        <v>596</v>
      </c>
      <c r="H39" s="50">
        <v>500</v>
      </c>
      <c r="I39" s="5" t="s">
        <v>597</v>
      </c>
      <c r="J39" s="5"/>
    </row>
    <row r="40" spans="1:10" ht="21.95" customHeight="1" x14ac:dyDescent="0.25">
      <c r="A40" s="40">
        <v>0.6</v>
      </c>
      <c r="B40" s="25">
        <f t="shared" si="0"/>
        <v>7.1133333333333326E-2</v>
      </c>
      <c r="C40" s="27">
        <f t="shared" si="1"/>
        <v>0.55212345679012342</v>
      </c>
      <c r="D40" s="10" t="str">
        <f t="shared" si="2"/>
        <v>Cảnh báo</v>
      </c>
      <c r="E40" s="5"/>
      <c r="F40" s="5"/>
      <c r="G40" s="5" t="s">
        <v>598</v>
      </c>
      <c r="H40" s="57">
        <f>IF(B19=0,"n.a.",(B29+B30)/(B19*0.5))</f>
        <v>0.53745185185185185</v>
      </c>
      <c r="I40" s="5" t="s">
        <v>599</v>
      </c>
      <c r="J40" s="5"/>
    </row>
    <row r="41" spans="1:10" ht="21.95" customHeight="1" x14ac:dyDescent="0.25">
      <c r="A41" s="40">
        <v>0.7</v>
      </c>
      <c r="B41" s="25">
        <f t="shared" si="0"/>
        <v>6.0971428571428572E-2</v>
      </c>
      <c r="C41" s="27">
        <f t="shared" si="1"/>
        <v>0.61610582010582005</v>
      </c>
      <c r="D41" s="10" t="str">
        <f t="shared" si="2"/>
        <v>An toàn</v>
      </c>
      <c r="E41" s="5"/>
      <c r="F41" s="5"/>
      <c r="G41" s="5"/>
      <c r="H41" s="5"/>
      <c r="I41" s="5"/>
      <c r="J41" s="5"/>
    </row>
    <row r="42" spans="1:10" ht="21.95" customHeight="1" x14ac:dyDescent="0.25">
      <c r="A42" s="40">
        <v>0.8</v>
      </c>
      <c r="B42" s="25">
        <f t="shared" si="0"/>
        <v>5.3349999999999995E-2</v>
      </c>
      <c r="C42" s="27">
        <f t="shared" si="1"/>
        <v>0.66409259259259268</v>
      </c>
      <c r="D42" s="10" t="str">
        <f t="shared" si="2"/>
        <v>An toàn</v>
      </c>
      <c r="E42" s="5"/>
      <c r="F42" s="5"/>
      <c r="G42" s="5"/>
      <c r="H42" s="5"/>
      <c r="I42" s="5"/>
      <c r="J42" s="5"/>
    </row>
    <row r="43" spans="1:10" ht="36" customHeight="1" x14ac:dyDescent="0.25">
      <c r="A43" s="40">
        <v>0.9</v>
      </c>
      <c r="B43" s="25">
        <f t="shared" si="0"/>
        <v>4.7422222222222213E-2</v>
      </c>
      <c r="C43" s="27">
        <f t="shared" si="1"/>
        <v>0.70141563786008232</v>
      </c>
      <c r="D43" s="10" t="str">
        <f t="shared" si="2"/>
        <v>An toàn</v>
      </c>
      <c r="E43" s="5"/>
      <c r="F43" s="5"/>
      <c r="G43" s="7" t="s">
        <v>600</v>
      </c>
      <c r="H43" s="7"/>
      <c r="I43" s="7"/>
      <c r="J43" s="7"/>
    </row>
    <row r="44" spans="1:10" ht="21.95" customHeight="1" x14ac:dyDescent="0.25">
      <c r="A44" s="40">
        <v>0.95</v>
      </c>
      <c r="B44" s="25">
        <f t="shared" si="0"/>
        <v>4.4926315789473682E-2</v>
      </c>
      <c r="C44" s="27">
        <f t="shared" si="1"/>
        <v>0.71713060428849906</v>
      </c>
      <c r="D44" s="10" t="str">
        <f t="shared" si="2"/>
        <v>An toàn</v>
      </c>
      <c r="E44" s="5"/>
      <c r="F44" s="5"/>
      <c r="G44" s="5" t="s">
        <v>139</v>
      </c>
      <c r="H44" s="5" t="s">
        <v>601</v>
      </c>
      <c r="I44" s="5" t="s">
        <v>550</v>
      </c>
      <c r="J44" s="5" t="s">
        <v>602</v>
      </c>
    </row>
    <row r="45" spans="1:10" ht="21.95" customHeight="1" x14ac:dyDescent="0.25">
      <c r="A45" s="5"/>
      <c r="B45" s="5"/>
      <c r="C45" s="5"/>
      <c r="D45" s="5"/>
      <c r="E45" s="5"/>
      <c r="F45" s="5"/>
      <c r="G45" s="66">
        <v>0.5</v>
      </c>
      <c r="H45" s="52">
        <f>$H$10/($H$7*G45)</f>
        <v>8.5359999999999991E-2</v>
      </c>
      <c r="I45" s="69">
        <f>$H$12</f>
        <v>0.68385185185185193</v>
      </c>
      <c r="J45" s="70">
        <f>$H$7*G45*'1_Cost_Job'!H42/60*'1_Cost_Job'!H43</f>
        <v>400</v>
      </c>
    </row>
    <row r="46" spans="1:10" ht="50.1" customHeight="1" x14ac:dyDescent="0.25">
      <c r="A46" s="14" t="s">
        <v>603</v>
      </c>
      <c r="B46" s="5"/>
      <c r="C46" s="5"/>
      <c r="D46" s="5"/>
      <c r="E46" s="5"/>
      <c r="F46" s="5"/>
      <c r="G46" s="66">
        <v>0.6</v>
      </c>
      <c r="H46" s="52">
        <f>$H$10/($H$7*G46)</f>
        <v>7.1133333333333326E-2</v>
      </c>
      <c r="I46" s="69">
        <f>$H$12</f>
        <v>0.68385185185185193</v>
      </c>
      <c r="J46" s="70">
        <f>$H$7*G46*'1_Cost_Job'!H42/60*'1_Cost_Job'!H43</f>
        <v>480</v>
      </c>
    </row>
    <row r="47" spans="1:10" ht="21.95" customHeight="1" x14ac:dyDescent="0.25">
      <c r="A47" s="5"/>
      <c r="B47" s="5"/>
      <c r="C47" s="5"/>
      <c r="D47" s="5"/>
      <c r="E47" s="5"/>
      <c r="F47" s="5"/>
      <c r="G47" s="66">
        <v>0.7</v>
      </c>
      <c r="H47" s="52">
        <f>$H$10/($H$7*G47)</f>
        <v>6.0971428571428565E-2</v>
      </c>
      <c r="I47" s="69">
        <f>$H$12</f>
        <v>0.68385185185185193</v>
      </c>
      <c r="J47" s="70">
        <f>$H$7*G47*'1_Cost_Job'!H42/60*'1_Cost_Job'!H43</f>
        <v>560</v>
      </c>
    </row>
    <row r="48" spans="1:10" ht="21.95" customHeight="1" x14ac:dyDescent="0.25">
      <c r="A48" s="15" t="s">
        <v>143</v>
      </c>
      <c r="B48" s="16"/>
      <c r="C48" s="16"/>
      <c r="D48" s="16"/>
      <c r="E48" s="16"/>
      <c r="F48" s="16"/>
      <c r="G48" s="67">
        <v>0.8</v>
      </c>
      <c r="H48" s="68">
        <f>$H$10/($H$7*G48)</f>
        <v>5.3349999999999995E-2</v>
      </c>
      <c r="I48" s="69">
        <f>$H$12</f>
        <v>0.68385185185185193</v>
      </c>
      <c r="J48" s="70">
        <f>$H$7*G48*'1_Cost_Job'!H42/60*'1_Cost_Job'!H43</f>
        <v>640</v>
      </c>
    </row>
    <row r="49" spans="1:10" ht="21.95" customHeight="1" x14ac:dyDescent="0.25">
      <c r="A49" s="13" t="s">
        <v>140</v>
      </c>
      <c r="B49" s="26">
        <f>B5</f>
        <v>5.0211764705882345E-2</v>
      </c>
      <c r="C49" s="5"/>
      <c r="D49" s="5"/>
      <c r="E49" s="5"/>
      <c r="F49" s="5"/>
      <c r="G49" s="66">
        <v>0.9</v>
      </c>
      <c r="H49" s="52">
        <f>$H$10/($H$7*G49)</f>
        <v>4.742222222222222E-2</v>
      </c>
      <c r="I49" s="69">
        <f>$H$12</f>
        <v>0.68385185185185193</v>
      </c>
      <c r="J49" s="70">
        <f>$H$7*G49*'1_Cost_Job'!H42/60*'1_Cost_Job'!H43</f>
        <v>720</v>
      </c>
    </row>
    <row r="50" spans="1:10" ht="21.95" customHeight="1" x14ac:dyDescent="0.25">
      <c r="A50" s="13" t="s">
        <v>144</v>
      </c>
      <c r="B50" s="26">
        <f>B7</f>
        <v>0.15063529411764703</v>
      </c>
      <c r="C50" s="5"/>
      <c r="D50" s="5"/>
      <c r="E50" s="5"/>
      <c r="F50" s="5"/>
      <c r="G50" s="5"/>
      <c r="H50" s="5"/>
      <c r="I50" s="5"/>
      <c r="J50" s="5"/>
    </row>
    <row r="51" spans="1:10" ht="21.95" customHeight="1" x14ac:dyDescent="0.25">
      <c r="A51" s="13" t="s">
        <v>145</v>
      </c>
      <c r="B51" s="26">
        <f>B19</f>
        <v>0.1588235294117647</v>
      </c>
      <c r="C51" s="5"/>
      <c r="D51" s="5"/>
      <c r="E51" s="5"/>
      <c r="F51" s="5"/>
      <c r="G51" s="5"/>
      <c r="H51" s="5"/>
      <c r="I51" s="5"/>
      <c r="J51" s="5"/>
    </row>
    <row r="52" spans="1:10" ht="21.95" customHeight="1" x14ac:dyDescent="0.25">
      <c r="A52" s="13" t="s">
        <v>141</v>
      </c>
      <c r="B52" s="37">
        <f>B21</f>
        <v>0.68385185185185193</v>
      </c>
      <c r="C52" s="5"/>
      <c r="D52" s="5"/>
      <c r="E52" s="5"/>
      <c r="F52" s="5"/>
      <c r="G52" s="5"/>
      <c r="H52" s="5"/>
      <c r="I52" s="5"/>
      <c r="J52" s="5"/>
    </row>
    <row r="53" spans="1:10" ht="36" customHeight="1" x14ac:dyDescent="0.25">
      <c r="A53" s="13" t="s">
        <v>803</v>
      </c>
      <c r="B53" s="37">
        <f>B33</f>
        <v>0.67181481481481486</v>
      </c>
      <c r="C53" s="5"/>
      <c r="D53" s="5"/>
      <c r="E53" s="5"/>
      <c r="F53" s="5"/>
      <c r="G53" s="5" t="s">
        <v>604</v>
      </c>
      <c r="H53" s="71">
        <f>1+((1-0.5)*H8-H10)/('1_Cost_Job'!H28+'1_Cost_Job'!H29)</f>
        <v>2.094356261022928</v>
      </c>
      <c r="I53" s="5" t="s">
        <v>605</v>
      </c>
      <c r="J53" s="5"/>
    </row>
    <row r="54" spans="1:10" ht="36" customHeight="1" x14ac:dyDescent="0.25">
      <c r="A54" s="5"/>
      <c r="B54" s="5"/>
      <c r="C54" s="5"/>
      <c r="D54" s="5"/>
      <c r="E54" s="5"/>
      <c r="F54" s="5"/>
      <c r="G54" s="5" t="s">
        <v>606</v>
      </c>
      <c r="H54" s="70">
        <f>'1_Cost_Job'!H7+(1-0.5)*H8-H10</f>
        <v>35.784000000000006</v>
      </c>
      <c r="I54" s="5" t="s">
        <v>607</v>
      </c>
      <c r="J54" s="5"/>
    </row>
    <row r="55" spans="1:10" ht="21.9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44.1" customHeight="1" x14ac:dyDescent="0.25">
      <c r="A56" s="5"/>
      <c r="B56" s="5"/>
      <c r="C56" s="5"/>
      <c r="D56" s="5"/>
      <c r="E56" s="5"/>
      <c r="F56" s="5"/>
      <c r="G56" s="74" t="s">
        <v>804</v>
      </c>
      <c r="H56" s="74"/>
      <c r="I56" s="74"/>
      <c r="J56" s="74"/>
    </row>
    <row r="57" spans="1:10" ht="44.1" customHeight="1" x14ac:dyDescent="0.25">
      <c r="A57" s="5"/>
      <c r="B57" s="5"/>
      <c r="C57" s="5"/>
      <c r="D57" s="5"/>
      <c r="E57" s="5"/>
      <c r="F57" s="5"/>
      <c r="G57" s="5" t="s">
        <v>805</v>
      </c>
      <c r="H57" s="77">
        <f>H6-B6*H17</f>
        <v>1.795999999999999E-2</v>
      </c>
      <c r="I57" s="5" t="s">
        <v>806</v>
      </c>
      <c r="J57" s="5"/>
    </row>
    <row r="58" spans="1:10" ht="44.1" customHeight="1" x14ac:dyDescent="0.25">
      <c r="A58" s="5"/>
      <c r="B58" s="5"/>
      <c r="C58" s="5"/>
      <c r="D58" s="5"/>
      <c r="E58" s="5"/>
      <c r="F58" s="5"/>
      <c r="G58" s="5" t="s">
        <v>807</v>
      </c>
      <c r="H58" s="78">
        <f>IF(H57&lt;=0,"Không khả thi",MAX(0,(B6*H16-H5)/H57))</f>
        <v>734.96659242761746</v>
      </c>
      <c r="I58" s="5" t="s">
        <v>808</v>
      </c>
      <c r="J58" s="5"/>
    </row>
    <row r="59" spans="1:10" ht="44.1" customHeight="1" x14ac:dyDescent="0.25">
      <c r="A59" s="5"/>
      <c r="B59" s="5"/>
      <c r="C59" s="5"/>
      <c r="D59" s="5"/>
      <c r="E59" s="5"/>
      <c r="F59" s="5"/>
      <c r="G59" s="5" t="s">
        <v>809</v>
      </c>
      <c r="H59" s="79">
        <f>IF(ISNUMBER(H58),ROUNDUP(H58,0),"Không khả thi")</f>
        <v>735</v>
      </c>
      <c r="I59" s="5" t="s">
        <v>810</v>
      </c>
      <c r="J59" s="5"/>
    </row>
    <row r="60" spans="1:10" ht="44.1" customHeight="1" x14ac:dyDescent="0.25">
      <c r="A60" s="5"/>
      <c r="B60" s="5"/>
      <c r="C60" s="5"/>
      <c r="D60" s="5"/>
      <c r="E60" s="5"/>
      <c r="F60" s="5"/>
      <c r="G60" s="5" t="s">
        <v>811</v>
      </c>
      <c r="H60" s="79">
        <f>IF(ISNUMBER(H59),MAX(H22,H59),"Không khả thi")</f>
        <v>735</v>
      </c>
      <c r="I60" s="5" t="s">
        <v>812</v>
      </c>
      <c r="J60" s="5"/>
    </row>
    <row r="61" spans="1:10" ht="44.1" customHeight="1" x14ac:dyDescent="0.25">
      <c r="A61" s="5"/>
      <c r="B61" s="5"/>
      <c r="C61" s="5"/>
      <c r="D61" s="5"/>
      <c r="E61" s="5"/>
      <c r="F61" s="5"/>
      <c r="G61" s="5" t="s">
        <v>813</v>
      </c>
      <c r="H61" s="79" t="str">
        <f>IF(ISNUMBER(H60),IF(H7&gt;=H60,"Đạt hai điều kiện","Chưa đạt hai điều kiện"),"Không khả thi")</f>
        <v>Đạt hai điều kiện</v>
      </c>
      <c r="I61" s="5" t="s">
        <v>814</v>
      </c>
      <c r="J61" s="5"/>
    </row>
    <row r="62" spans="1:10" ht="44.1" customHeight="1" x14ac:dyDescent="0.25">
      <c r="A62" s="5"/>
      <c r="B62" s="5"/>
      <c r="C62" s="5"/>
      <c r="D62" s="5"/>
      <c r="E62" s="5"/>
      <c r="F62" s="5"/>
      <c r="G62" s="5" t="s">
        <v>815</v>
      </c>
      <c r="H62" s="76">
        <f>H24</f>
        <v>0.81</v>
      </c>
      <c r="I62" s="5" t="s">
        <v>816</v>
      </c>
      <c r="J62" s="5"/>
    </row>
    <row r="63" spans="1:10" ht="21.9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1.9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1.9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1.9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1.9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1.9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1.9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1.9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1.9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1.9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workbookViewId="0"/>
  </sheetViews>
  <sheetFormatPr defaultColWidth="14.42578125" defaultRowHeight="15" x14ac:dyDescent="0.25"/>
  <cols>
    <col min="1" max="1" width="58" customWidth="1"/>
    <col min="2" max="2" width="32" customWidth="1"/>
    <col min="3" max="3" width="38" customWidth="1"/>
    <col min="4" max="4" width="64" customWidth="1"/>
    <col min="5" max="6" width="4" customWidth="1"/>
    <col min="7" max="7" width="48" customWidth="1"/>
    <col min="8" max="8" width="32" customWidth="1"/>
    <col min="9" max="9" width="64" customWidth="1"/>
    <col min="10" max="10" width="35" customWidth="1"/>
    <col min="11" max="26" width="8.7109375" customWidth="1"/>
  </cols>
  <sheetData>
    <row r="1" spans="1:10" ht="32.1" customHeight="1" x14ac:dyDescent="0.25">
      <c r="A1" s="1" t="s">
        <v>146</v>
      </c>
      <c r="B1" s="3"/>
      <c r="C1" s="3"/>
      <c r="D1" s="3"/>
      <c r="E1" s="3"/>
      <c r="F1" s="3"/>
      <c r="G1" s="3"/>
      <c r="H1" s="3"/>
      <c r="I1" s="4"/>
      <c r="J1" s="4"/>
    </row>
    <row r="2" spans="1:10" x14ac:dyDescent="0.25">
      <c r="A2" s="2" t="s">
        <v>147</v>
      </c>
      <c r="B2" s="4"/>
      <c r="C2" s="4"/>
      <c r="D2" s="4"/>
      <c r="E2" s="4"/>
      <c r="F2" s="4"/>
      <c r="G2" s="4"/>
      <c r="H2" s="4"/>
      <c r="I2" s="4"/>
      <c r="J2" s="4"/>
    </row>
    <row r="3" spans="1:10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36" customHeight="1" x14ac:dyDescent="0.25">
      <c r="A4" s="15" t="s">
        <v>148</v>
      </c>
      <c r="B4" s="16"/>
      <c r="C4" s="16"/>
      <c r="D4" s="16"/>
      <c r="E4" s="16"/>
      <c r="F4" s="16"/>
      <c r="G4" s="17" t="s">
        <v>608</v>
      </c>
      <c r="H4" s="17"/>
      <c r="I4" s="7"/>
      <c r="J4" s="7"/>
    </row>
    <row r="5" spans="1:10" ht="36" customHeight="1" x14ac:dyDescent="0.25">
      <c r="A5" s="5" t="s">
        <v>149</v>
      </c>
      <c r="B5" s="18">
        <v>0</v>
      </c>
      <c r="C5" s="5"/>
      <c r="D5" s="5"/>
      <c r="E5" s="5"/>
      <c r="F5" s="5"/>
      <c r="G5" s="5" t="s">
        <v>609</v>
      </c>
      <c r="H5" s="9" t="s">
        <v>610</v>
      </c>
      <c r="I5" s="5" t="s">
        <v>611</v>
      </c>
      <c r="J5" s="5"/>
    </row>
    <row r="6" spans="1:10" ht="36" customHeight="1" x14ac:dyDescent="0.25">
      <c r="A6" s="5" t="s">
        <v>150</v>
      </c>
      <c r="B6" s="18">
        <v>0</v>
      </c>
      <c r="C6" s="5"/>
      <c r="D6" s="5"/>
      <c r="E6" s="5"/>
      <c r="F6" s="5"/>
      <c r="G6" s="5" t="s">
        <v>612</v>
      </c>
      <c r="H6" s="9" t="s">
        <v>613</v>
      </c>
      <c r="I6" s="5" t="s">
        <v>614</v>
      </c>
      <c r="J6" s="5"/>
    </row>
    <row r="7" spans="1:10" ht="36" customHeight="1" x14ac:dyDescent="0.25">
      <c r="A7" s="5" t="s">
        <v>151</v>
      </c>
      <c r="B7" s="18">
        <v>0</v>
      </c>
      <c r="C7" s="5"/>
      <c r="D7" s="5"/>
      <c r="E7" s="5"/>
      <c r="F7" s="5"/>
      <c r="G7" s="5" t="s">
        <v>615</v>
      </c>
      <c r="H7" s="9" t="s">
        <v>616</v>
      </c>
      <c r="I7" s="5" t="s">
        <v>617</v>
      </c>
      <c r="J7" s="5"/>
    </row>
    <row r="8" spans="1:10" ht="36" customHeight="1" x14ac:dyDescent="0.25">
      <c r="A8" s="5" t="s">
        <v>152</v>
      </c>
      <c r="B8" s="18">
        <v>1</v>
      </c>
      <c r="C8" s="5"/>
      <c r="D8" s="5"/>
      <c r="E8" s="5"/>
      <c r="F8" s="5"/>
      <c r="G8" s="5" t="s">
        <v>618</v>
      </c>
      <c r="H8" s="9" t="s">
        <v>619</v>
      </c>
      <c r="I8" s="5" t="s">
        <v>620</v>
      </c>
      <c r="J8" s="5"/>
    </row>
    <row r="9" spans="1:10" ht="36" customHeight="1" x14ac:dyDescent="0.25">
      <c r="A9" s="5" t="s">
        <v>153</v>
      </c>
      <c r="B9" s="18">
        <v>2</v>
      </c>
      <c r="C9" s="5"/>
      <c r="D9" s="5"/>
      <c r="E9" s="5"/>
      <c r="F9" s="5"/>
      <c r="G9" s="5" t="s">
        <v>621</v>
      </c>
      <c r="H9" s="9" t="s">
        <v>622</v>
      </c>
      <c r="I9" s="5" t="s">
        <v>623</v>
      </c>
      <c r="J9" s="5"/>
    </row>
    <row r="10" spans="1:10" ht="36" customHeight="1" x14ac:dyDescent="0.25">
      <c r="A10" s="13" t="s">
        <v>154</v>
      </c>
      <c r="B10" s="41">
        <f>SUM(B5:B9)</f>
        <v>3</v>
      </c>
      <c r="C10" s="5"/>
      <c r="D10" s="5"/>
      <c r="E10" s="5"/>
      <c r="F10" s="5"/>
      <c r="G10" s="5" t="s">
        <v>624</v>
      </c>
      <c r="H10" s="9" t="s">
        <v>625</v>
      </c>
      <c r="I10" s="5" t="s">
        <v>626</v>
      </c>
      <c r="J10" s="5"/>
    </row>
    <row r="11" spans="1:10" ht="36" customHeight="1" x14ac:dyDescent="0.25">
      <c r="A11" s="5"/>
      <c r="B11" s="5"/>
      <c r="C11" s="5"/>
      <c r="D11" s="5"/>
      <c r="E11" s="5"/>
      <c r="F11" s="5"/>
      <c r="G11" s="5" t="s">
        <v>627</v>
      </c>
      <c r="H11" s="9" t="s">
        <v>628</v>
      </c>
      <c r="I11" s="5" t="s">
        <v>629</v>
      </c>
      <c r="J11" s="5"/>
    </row>
    <row r="12" spans="1:10" ht="36" customHeight="1" x14ac:dyDescent="0.25">
      <c r="A12" s="15" t="s">
        <v>155</v>
      </c>
      <c r="B12" s="16"/>
      <c r="C12" s="16"/>
      <c r="D12" s="16"/>
      <c r="E12" s="16"/>
      <c r="F12" s="16"/>
      <c r="G12" s="16" t="s">
        <v>630</v>
      </c>
      <c r="H12" s="19" t="s">
        <v>631</v>
      </c>
      <c r="I12" s="5" t="s">
        <v>632</v>
      </c>
      <c r="J12" s="5"/>
    </row>
    <row r="13" spans="1:10" ht="36" customHeight="1" x14ac:dyDescent="0.25">
      <c r="A13" s="5" t="s">
        <v>156</v>
      </c>
      <c r="B13" s="18">
        <v>1</v>
      </c>
      <c r="C13" s="5"/>
      <c r="D13" s="5"/>
      <c r="E13" s="5"/>
      <c r="F13" s="5"/>
      <c r="G13" s="5" t="s">
        <v>633</v>
      </c>
      <c r="H13" s="9" t="s">
        <v>634</v>
      </c>
      <c r="I13" s="5" t="s">
        <v>817</v>
      </c>
      <c r="J13" s="5"/>
    </row>
    <row r="14" spans="1:10" ht="36" customHeight="1" x14ac:dyDescent="0.25">
      <c r="A14" s="5" t="s">
        <v>157</v>
      </c>
      <c r="B14" s="18">
        <v>0</v>
      </c>
      <c r="C14" s="5"/>
      <c r="D14" s="5"/>
      <c r="E14" s="5"/>
      <c r="F14" s="5"/>
      <c r="G14" s="5" t="s">
        <v>635</v>
      </c>
      <c r="H14" s="9" t="s">
        <v>636</v>
      </c>
      <c r="I14" s="5" t="s">
        <v>637</v>
      </c>
      <c r="J14" s="5"/>
    </row>
    <row r="15" spans="1:10" ht="36" customHeight="1" x14ac:dyDescent="0.25">
      <c r="A15" s="5" t="s">
        <v>158</v>
      </c>
      <c r="B15" s="18">
        <v>1</v>
      </c>
      <c r="C15" s="5"/>
      <c r="D15" s="5"/>
      <c r="E15" s="5"/>
      <c r="F15" s="5"/>
      <c r="G15" s="5" t="s">
        <v>638</v>
      </c>
      <c r="H15" s="9" t="s">
        <v>639</v>
      </c>
      <c r="I15" s="5" t="s">
        <v>640</v>
      </c>
      <c r="J15" s="5"/>
    </row>
    <row r="16" spans="1:10" ht="21.95" customHeight="1" x14ac:dyDescent="0.25">
      <c r="A16" s="5" t="s">
        <v>159</v>
      </c>
      <c r="B16" s="18">
        <v>0</v>
      </c>
      <c r="C16" s="5"/>
      <c r="D16" s="5"/>
      <c r="E16" s="5"/>
      <c r="F16" s="5"/>
      <c r="G16" s="5"/>
      <c r="H16" s="5"/>
      <c r="I16" s="5"/>
      <c r="J16" s="5"/>
    </row>
    <row r="17" spans="1:10" ht="36" customHeight="1" x14ac:dyDescent="0.25">
      <c r="A17" s="5" t="s">
        <v>160</v>
      </c>
      <c r="B17" s="18">
        <v>0</v>
      </c>
      <c r="C17" s="5"/>
      <c r="D17" s="5"/>
      <c r="E17" s="5"/>
      <c r="F17" s="5"/>
      <c r="G17" s="5"/>
      <c r="H17" s="5"/>
      <c r="I17" s="5"/>
      <c r="J17" s="5"/>
    </row>
    <row r="18" spans="1:10" ht="21.95" customHeight="1" x14ac:dyDescent="0.25">
      <c r="A18" s="13" t="s">
        <v>161</v>
      </c>
      <c r="B18" s="41">
        <f>SUM(B13:B17)</f>
        <v>2</v>
      </c>
      <c r="C18" s="5"/>
      <c r="D18" s="5"/>
      <c r="E18" s="5"/>
      <c r="F18" s="5"/>
      <c r="G18" s="5"/>
      <c r="H18" s="5"/>
      <c r="I18" s="5"/>
      <c r="J18" s="5"/>
    </row>
    <row r="19" spans="1:10" ht="21.9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21.95" customHeight="1" x14ac:dyDescent="0.25">
      <c r="A20" s="15" t="s">
        <v>162</v>
      </c>
      <c r="B20" s="16"/>
      <c r="C20" s="16"/>
      <c r="D20" s="16"/>
      <c r="E20" s="16"/>
      <c r="F20" s="16"/>
      <c r="G20" s="16"/>
      <c r="H20" s="16"/>
      <c r="I20" s="5"/>
      <c r="J20" s="5"/>
    </row>
    <row r="21" spans="1:10" ht="21.95" customHeight="1" x14ac:dyDescent="0.25">
      <c r="A21" s="13" t="s">
        <v>163</v>
      </c>
      <c r="B21" s="42" t="str">
        <f>IF(AND(B10&gt;=7,B18&gt;=7),"OUTCOME",IF(AND(B10&gt;=7,B18&lt;7),"USAGE",IF(AND(B10&lt;7,B18&gt;=7),"USAGE (an toàn)","SEAT hoặc HYBRID")))</f>
        <v>SEAT hoặc HYBRID</v>
      </c>
      <c r="C21" s="5"/>
      <c r="D21" s="5"/>
      <c r="E21" s="5"/>
      <c r="F21" s="5"/>
      <c r="G21" s="5"/>
      <c r="H21" s="5"/>
      <c r="I21" s="5"/>
      <c r="J21" s="5"/>
    </row>
    <row r="22" spans="1:10" ht="50.1" customHeight="1" x14ac:dyDescent="0.25">
      <c r="A22" s="14" t="s">
        <v>164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21.9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21.95" customHeight="1" x14ac:dyDescent="0.25">
      <c r="A24" s="15" t="s">
        <v>165</v>
      </c>
      <c r="B24" s="16"/>
      <c r="C24" s="16"/>
      <c r="D24" s="16"/>
      <c r="E24" s="16"/>
      <c r="F24" s="16"/>
      <c r="G24" s="16"/>
      <c r="H24" s="16"/>
      <c r="I24" s="5"/>
      <c r="J24" s="5"/>
    </row>
    <row r="25" spans="1:10" ht="21.95" customHeight="1" x14ac:dyDescent="0.25">
      <c r="A25" s="39" t="s">
        <v>166</v>
      </c>
      <c r="B25" s="39" t="s">
        <v>167</v>
      </c>
      <c r="C25" s="39" t="s">
        <v>168</v>
      </c>
      <c r="D25" s="39" t="s">
        <v>169</v>
      </c>
      <c r="E25" s="5"/>
      <c r="F25" s="5"/>
      <c r="G25" s="5"/>
      <c r="H25" s="5"/>
      <c r="I25" s="5"/>
      <c r="J25" s="5"/>
    </row>
    <row r="26" spans="1:10" ht="63.95" customHeight="1" x14ac:dyDescent="0.25">
      <c r="A26" s="8" t="s">
        <v>641</v>
      </c>
      <c r="B26" s="8" t="s">
        <v>642</v>
      </c>
      <c r="C26" s="8" t="s">
        <v>818</v>
      </c>
      <c r="D26" s="8" t="s">
        <v>643</v>
      </c>
      <c r="E26" s="5"/>
      <c r="F26" s="5"/>
      <c r="G26" s="5"/>
      <c r="H26" s="5"/>
      <c r="I26" s="5"/>
      <c r="J26" s="5"/>
    </row>
    <row r="27" spans="1:10" ht="36" customHeight="1" x14ac:dyDescent="0.25">
      <c r="A27" s="8" t="s">
        <v>644</v>
      </c>
      <c r="B27" s="8" t="s">
        <v>645</v>
      </c>
      <c r="C27" s="8" t="s">
        <v>646</v>
      </c>
      <c r="D27" s="8" t="s">
        <v>647</v>
      </c>
      <c r="E27" s="5"/>
      <c r="F27" s="5"/>
      <c r="G27" s="5"/>
      <c r="H27" s="5"/>
      <c r="I27" s="5"/>
      <c r="J27" s="5"/>
    </row>
    <row r="28" spans="1:10" ht="21.9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21.95" customHeight="1" x14ac:dyDescent="0.25">
      <c r="A29" s="15" t="s">
        <v>170</v>
      </c>
      <c r="B29" s="16"/>
      <c r="C29" s="16"/>
      <c r="D29" s="16"/>
      <c r="E29" s="16"/>
      <c r="F29" s="16"/>
      <c r="G29" s="16"/>
      <c r="H29" s="16"/>
      <c r="I29" s="5"/>
      <c r="J29" s="5"/>
    </row>
    <row r="30" spans="1:10" ht="21.95" customHeight="1" x14ac:dyDescent="0.25">
      <c r="A30" s="5" t="s">
        <v>171</v>
      </c>
      <c r="B30" s="8" t="s">
        <v>648</v>
      </c>
      <c r="C30" s="5"/>
      <c r="D30" s="5"/>
      <c r="E30" s="5"/>
      <c r="F30" s="5"/>
      <c r="G30" s="5"/>
      <c r="H30" s="5"/>
      <c r="I30" s="5"/>
      <c r="J30" s="5"/>
    </row>
    <row r="31" spans="1:10" ht="36" customHeight="1" x14ac:dyDescent="0.25">
      <c r="A31" s="5" t="s">
        <v>172</v>
      </c>
      <c r="B31" s="8" t="s">
        <v>649</v>
      </c>
      <c r="C31" s="5"/>
      <c r="D31" s="5"/>
      <c r="E31" s="5"/>
      <c r="F31" s="5"/>
      <c r="G31" s="5"/>
      <c r="H31" s="5"/>
      <c r="I31" s="5"/>
      <c r="J31" s="5"/>
    </row>
    <row r="32" spans="1:10" ht="63.95" customHeight="1" x14ac:dyDescent="0.25">
      <c r="A32" s="5" t="s">
        <v>173</v>
      </c>
      <c r="B32" s="8" t="s">
        <v>650</v>
      </c>
      <c r="C32" s="5"/>
      <c r="D32" s="5"/>
      <c r="E32" s="5"/>
      <c r="F32" s="5"/>
      <c r="G32" s="5"/>
      <c r="H32" s="5"/>
      <c r="I32" s="5"/>
      <c r="J32" s="5"/>
    </row>
    <row r="33" spans="1:10" ht="78" customHeight="1" x14ac:dyDescent="0.25">
      <c r="A33" s="5" t="s">
        <v>174</v>
      </c>
      <c r="B33" s="8" t="s">
        <v>651</v>
      </c>
      <c r="C33" s="5"/>
      <c r="D33" s="5"/>
      <c r="E33" s="5"/>
      <c r="F33" s="5"/>
      <c r="G33" s="5"/>
      <c r="H33" s="5"/>
      <c r="I33" s="5"/>
      <c r="J33" s="5"/>
    </row>
    <row r="34" spans="1:10" ht="63.95" customHeight="1" x14ac:dyDescent="0.25">
      <c r="A34" s="5" t="s">
        <v>175</v>
      </c>
      <c r="B34" s="8" t="s">
        <v>652</v>
      </c>
      <c r="C34" s="5"/>
      <c r="D34" s="5"/>
      <c r="E34" s="5"/>
      <c r="F34" s="5"/>
      <c r="G34" s="5"/>
      <c r="H34" s="5"/>
      <c r="I34" s="5"/>
      <c r="J34" s="5"/>
    </row>
    <row r="35" spans="1:10" ht="21.9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21.9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21.9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21.9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21.9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21.9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1.9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21.9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21.9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21.9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21.9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21.9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21.9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21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1.9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1.9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1.9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1.9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1.9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1.9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1.9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1.9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1.9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1.9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1.9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1.9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1.9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1.9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1.9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1.9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1.9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1.9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1.9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1.9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1.9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1.9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1.9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1.9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workbookViewId="0"/>
  </sheetViews>
  <sheetFormatPr defaultColWidth="14.42578125" defaultRowHeight="15" x14ac:dyDescent="0.25"/>
  <cols>
    <col min="1" max="1" width="58" customWidth="1"/>
    <col min="2" max="2" width="32" customWidth="1"/>
    <col min="3" max="3" width="24" customWidth="1"/>
    <col min="4" max="4" width="64" customWidth="1"/>
    <col min="5" max="6" width="4" customWidth="1"/>
    <col min="7" max="7" width="48" customWidth="1"/>
    <col min="8" max="8" width="32" customWidth="1"/>
    <col min="9" max="9" width="64" customWidth="1"/>
    <col min="10" max="10" width="35" customWidth="1"/>
    <col min="11" max="26" width="8.7109375" customWidth="1"/>
  </cols>
  <sheetData>
    <row r="1" spans="1:10" ht="32.1" customHeight="1" x14ac:dyDescent="0.25">
      <c r="A1" s="1" t="s">
        <v>176</v>
      </c>
      <c r="B1" s="3"/>
      <c r="C1" s="3"/>
      <c r="D1" s="3"/>
      <c r="E1" s="3"/>
      <c r="F1" s="3"/>
      <c r="G1" s="3"/>
      <c r="H1" s="3"/>
      <c r="I1" s="4"/>
      <c r="J1" s="4"/>
    </row>
    <row r="2" spans="1:10" x14ac:dyDescent="0.25">
      <c r="A2" s="2" t="s">
        <v>177</v>
      </c>
      <c r="B2" s="4"/>
      <c r="C2" s="4"/>
      <c r="D2" s="4"/>
      <c r="E2" s="4"/>
      <c r="F2" s="4"/>
      <c r="G2" s="4"/>
      <c r="H2" s="4"/>
      <c r="I2" s="4"/>
      <c r="J2" s="4"/>
    </row>
    <row r="3" spans="1:10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1.95" customHeight="1" x14ac:dyDescent="0.25">
      <c r="A4" s="15" t="s">
        <v>178</v>
      </c>
      <c r="B4" s="16"/>
      <c r="C4" s="16"/>
      <c r="D4" s="16"/>
      <c r="E4" s="16"/>
      <c r="F4" s="16"/>
      <c r="G4" s="17" t="s">
        <v>653</v>
      </c>
      <c r="H4" s="17"/>
      <c r="I4" s="7"/>
      <c r="J4" s="7"/>
    </row>
    <row r="5" spans="1:10" ht="21.95" customHeight="1" x14ac:dyDescent="0.25">
      <c r="A5" s="5" t="s">
        <v>179</v>
      </c>
      <c r="B5" s="35">
        <f>'2_Pricing'!H8</f>
        <v>162</v>
      </c>
      <c r="C5" s="5"/>
      <c r="D5" s="5"/>
      <c r="E5" s="5"/>
      <c r="F5" s="5"/>
      <c r="G5" s="5" t="s">
        <v>654</v>
      </c>
      <c r="H5" s="9" t="s">
        <v>655</v>
      </c>
      <c r="I5" s="5" t="s">
        <v>656</v>
      </c>
      <c r="J5" s="5"/>
    </row>
    <row r="6" spans="1:10" ht="21.95" customHeight="1" x14ac:dyDescent="0.25">
      <c r="A6" s="5" t="s">
        <v>180</v>
      </c>
      <c r="B6" s="38">
        <f>'2_Pricing'!B21</f>
        <v>0.68385185185185193</v>
      </c>
      <c r="C6" s="5"/>
      <c r="D6" s="5"/>
      <c r="E6" s="5"/>
      <c r="F6" s="5"/>
      <c r="G6" s="5" t="s">
        <v>657</v>
      </c>
      <c r="H6" s="9" t="s">
        <v>432</v>
      </c>
      <c r="I6" s="5" t="s">
        <v>658</v>
      </c>
      <c r="J6" s="5"/>
    </row>
    <row r="7" spans="1:10" ht="21.95" customHeight="1" x14ac:dyDescent="0.25">
      <c r="A7" s="5" t="s">
        <v>181</v>
      </c>
      <c r="B7" s="18" t="s">
        <v>659</v>
      </c>
      <c r="C7" s="5"/>
      <c r="D7" s="5"/>
      <c r="E7" s="5"/>
      <c r="F7" s="5"/>
      <c r="G7" s="5" t="s">
        <v>660</v>
      </c>
      <c r="H7" s="9">
        <v>24</v>
      </c>
      <c r="I7" s="5" t="s">
        <v>661</v>
      </c>
      <c r="J7" s="5"/>
    </row>
    <row r="8" spans="1:10" ht="21.95" customHeight="1" x14ac:dyDescent="0.25">
      <c r="A8" s="5" t="s">
        <v>182</v>
      </c>
      <c r="B8" s="22">
        <f>IF(B7="SMB",12,IF(B7="Mid",18,24))</f>
        <v>12</v>
      </c>
      <c r="C8" s="14" t="s">
        <v>183</v>
      </c>
      <c r="D8" s="14" t="s">
        <v>184</v>
      </c>
      <c r="E8" s="5"/>
      <c r="F8" s="5"/>
      <c r="G8" s="5" t="s">
        <v>662</v>
      </c>
      <c r="H8" s="9">
        <v>16</v>
      </c>
      <c r="I8" s="5" t="s">
        <v>663</v>
      </c>
      <c r="J8" s="5"/>
    </row>
    <row r="9" spans="1:10" ht="21.95" customHeight="1" x14ac:dyDescent="0.25">
      <c r="A9" s="13" t="s">
        <v>185</v>
      </c>
      <c r="B9" s="43">
        <f>B5*B6*B8</f>
        <v>1329.4080000000004</v>
      </c>
      <c r="C9" s="5"/>
      <c r="D9" s="14" t="s">
        <v>186</v>
      </c>
      <c r="E9" s="5"/>
      <c r="F9" s="5"/>
      <c r="G9" s="5" t="s">
        <v>664</v>
      </c>
      <c r="H9" s="9">
        <v>20</v>
      </c>
      <c r="I9" s="5" t="s">
        <v>665</v>
      </c>
      <c r="J9" s="5"/>
    </row>
    <row r="10" spans="1:10" ht="21.95" customHeight="1" x14ac:dyDescent="0.25">
      <c r="A10" s="5" t="s">
        <v>187</v>
      </c>
      <c r="B10" s="44">
        <f>B5*12</f>
        <v>1944</v>
      </c>
      <c r="C10" s="5"/>
      <c r="D10" s="5"/>
      <c r="E10" s="5"/>
      <c r="F10" s="5"/>
      <c r="G10" s="5" t="s">
        <v>666</v>
      </c>
      <c r="H10" s="9">
        <v>20</v>
      </c>
      <c r="I10" s="5" t="s">
        <v>667</v>
      </c>
      <c r="J10" s="5"/>
    </row>
    <row r="11" spans="1:10" ht="21.95" customHeight="1" x14ac:dyDescent="0.25">
      <c r="A11" s="5"/>
      <c r="B11" s="5"/>
      <c r="C11" s="5"/>
      <c r="D11" s="5"/>
      <c r="E11" s="5"/>
      <c r="F11" s="5"/>
      <c r="G11" s="5" t="s">
        <v>668</v>
      </c>
      <c r="H11" s="24">
        <f>SUM(H7:H10)</f>
        <v>80</v>
      </c>
      <c r="I11" s="5" t="s">
        <v>669</v>
      </c>
      <c r="J11" s="5"/>
    </row>
    <row r="12" spans="1:10" ht="36" customHeight="1" x14ac:dyDescent="0.25">
      <c r="A12" s="15" t="s">
        <v>188</v>
      </c>
      <c r="B12" s="16"/>
      <c r="C12" s="16"/>
      <c r="D12" s="16"/>
      <c r="E12" s="16"/>
      <c r="F12" s="16"/>
      <c r="G12" s="16" t="s">
        <v>670</v>
      </c>
      <c r="H12" s="72">
        <f>B22/(B5*B6)</f>
        <v>2.8885037550548809</v>
      </c>
      <c r="I12" s="5" t="s">
        <v>671</v>
      </c>
      <c r="J12" s="5"/>
    </row>
    <row r="13" spans="1:10" ht="36" customHeight="1" x14ac:dyDescent="0.25">
      <c r="A13" s="5" t="s">
        <v>189</v>
      </c>
      <c r="B13" s="35">
        <v>60000</v>
      </c>
      <c r="C13" s="5"/>
      <c r="D13" s="14" t="s">
        <v>672</v>
      </c>
      <c r="E13" s="5"/>
      <c r="F13" s="5"/>
      <c r="G13" s="5" t="s">
        <v>673</v>
      </c>
      <c r="H13" s="24">
        <f>B9*B21</f>
        <v>332.35200000000009</v>
      </c>
      <c r="I13" s="5" t="s">
        <v>674</v>
      </c>
      <c r="J13" s="5"/>
    </row>
    <row r="14" spans="1:10" ht="21.95" customHeight="1" x14ac:dyDescent="0.25">
      <c r="A14" s="5" t="s">
        <v>190</v>
      </c>
      <c r="B14" s="20">
        <v>250</v>
      </c>
      <c r="C14" s="14" t="s">
        <v>191</v>
      </c>
      <c r="D14" s="5"/>
      <c r="E14" s="5"/>
      <c r="F14" s="5"/>
      <c r="G14" s="5" t="s">
        <v>675</v>
      </c>
      <c r="H14" s="57">
        <f>B20/B9</f>
        <v>6.0177161563643347E-2</v>
      </c>
      <c r="I14" s="5" t="s">
        <v>676</v>
      </c>
      <c r="J14" s="5"/>
    </row>
    <row r="15" spans="1:10" ht="21.95" customHeight="1" x14ac:dyDescent="0.25">
      <c r="A15" s="5" t="s">
        <v>192</v>
      </c>
      <c r="B15" s="22">
        <f>IF(B10=0,0,B13/B10)</f>
        <v>30.864197530864196</v>
      </c>
      <c r="C15" s="5"/>
      <c r="D15" s="5"/>
      <c r="E15" s="5"/>
      <c r="F15" s="5"/>
      <c r="G15" s="5"/>
      <c r="H15" s="5"/>
      <c r="I15" s="5"/>
      <c r="J15" s="5"/>
    </row>
    <row r="16" spans="1:10" ht="21.95" customHeight="1" x14ac:dyDescent="0.25">
      <c r="A16" s="13" t="s">
        <v>193</v>
      </c>
      <c r="B16" s="45">
        <f>IF(B14=0,0,B15/B14)</f>
        <v>0.12345679012345678</v>
      </c>
      <c r="C16" s="14" t="s">
        <v>194</v>
      </c>
      <c r="D16" s="5"/>
      <c r="E16" s="5"/>
      <c r="F16" s="5"/>
      <c r="G16" s="5" t="s">
        <v>677</v>
      </c>
      <c r="H16" s="9">
        <v>10000</v>
      </c>
      <c r="I16" s="5" t="s">
        <v>678</v>
      </c>
      <c r="J16" s="5"/>
    </row>
    <row r="17" spans="1:10" ht="21.95" customHeight="1" x14ac:dyDescent="0.25">
      <c r="A17" s="5" t="s">
        <v>195</v>
      </c>
      <c r="B17" s="10" t="str">
        <f>IF(B16&lt;=1,"KHẢ THI về mặt số học","BẤT KHẢ THI — ACV quá thấp để nuôi sales rep")</f>
        <v>KHẢ THI về mặt số học</v>
      </c>
      <c r="C17" s="5"/>
      <c r="D17" s="5"/>
      <c r="E17" s="5"/>
      <c r="F17" s="5"/>
      <c r="G17" s="5" t="s">
        <v>679</v>
      </c>
      <c r="H17" s="73">
        <f>B15</f>
        <v>30.864197530864196</v>
      </c>
      <c r="I17" s="5"/>
      <c r="J17" s="5"/>
    </row>
    <row r="18" spans="1:10" ht="36" customHeight="1" x14ac:dyDescent="0.25">
      <c r="A18" s="5"/>
      <c r="B18" s="5"/>
      <c r="C18" s="5"/>
      <c r="D18" s="5"/>
      <c r="E18" s="5"/>
      <c r="F18" s="5"/>
      <c r="G18" s="5" t="s">
        <v>680</v>
      </c>
      <c r="H18" s="24">
        <f>H16/H17</f>
        <v>324</v>
      </c>
      <c r="I18" s="5" t="s">
        <v>681</v>
      </c>
      <c r="J18" s="5"/>
    </row>
    <row r="19" spans="1:10" ht="36" customHeight="1" x14ac:dyDescent="0.25">
      <c r="A19" s="15" t="s">
        <v>196</v>
      </c>
      <c r="B19" s="16"/>
      <c r="C19" s="16"/>
      <c r="D19" s="16"/>
      <c r="E19" s="16"/>
      <c r="F19" s="16"/>
      <c r="G19" s="16" t="s">
        <v>682</v>
      </c>
      <c r="H19" s="19" t="s">
        <v>683</v>
      </c>
      <c r="I19" s="5" t="s">
        <v>684</v>
      </c>
      <c r="J19" s="5"/>
    </row>
    <row r="20" spans="1:10" ht="36" customHeight="1" x14ac:dyDescent="0.25">
      <c r="A20" s="5" t="s">
        <v>197</v>
      </c>
      <c r="B20" s="35">
        <v>80</v>
      </c>
      <c r="C20" s="5"/>
      <c r="D20" s="14" t="s">
        <v>685</v>
      </c>
      <c r="E20" s="5"/>
      <c r="F20" s="5"/>
      <c r="G20" s="5"/>
      <c r="H20" s="5"/>
      <c r="I20" s="5"/>
      <c r="J20" s="5"/>
    </row>
    <row r="21" spans="1:10" ht="21.95" customHeight="1" x14ac:dyDescent="0.25">
      <c r="A21" s="5" t="s">
        <v>198</v>
      </c>
      <c r="B21" s="21">
        <v>0.25</v>
      </c>
      <c r="C21" s="5"/>
      <c r="D21" s="5"/>
      <c r="E21" s="5"/>
      <c r="F21" s="5"/>
      <c r="G21" s="5" t="s">
        <v>686</v>
      </c>
      <c r="H21" s="9">
        <v>200</v>
      </c>
      <c r="I21" s="5" t="s">
        <v>687</v>
      </c>
      <c r="J21" s="5"/>
    </row>
    <row r="22" spans="1:10" ht="21.95" customHeight="1" x14ac:dyDescent="0.25">
      <c r="A22" s="5" t="s">
        <v>199</v>
      </c>
      <c r="B22" s="44">
        <f>IF(B21=0,0,B20/B21)</f>
        <v>320</v>
      </c>
      <c r="C22" s="5"/>
      <c r="D22" s="5"/>
      <c r="E22" s="5"/>
      <c r="F22" s="5"/>
      <c r="G22" s="5" t="s">
        <v>688</v>
      </c>
      <c r="H22" s="9">
        <v>20</v>
      </c>
      <c r="I22" s="5" t="s">
        <v>689</v>
      </c>
      <c r="J22" s="5"/>
    </row>
    <row r="23" spans="1:10" ht="21.95" customHeight="1" x14ac:dyDescent="0.25">
      <c r="A23" s="13" t="s">
        <v>200</v>
      </c>
      <c r="B23" s="46">
        <f>IF(B9=0,0,B22/B9)</f>
        <v>0.24070864625457339</v>
      </c>
      <c r="C23" s="5"/>
      <c r="D23" s="14" t="s">
        <v>201</v>
      </c>
      <c r="E23" s="5"/>
      <c r="F23" s="5"/>
      <c r="G23" s="5" t="s">
        <v>690</v>
      </c>
      <c r="H23" s="9">
        <v>5</v>
      </c>
      <c r="I23" s="5" t="s">
        <v>691</v>
      </c>
      <c r="J23" s="5"/>
    </row>
    <row r="24" spans="1:10" ht="21.95" customHeight="1" x14ac:dyDescent="0.25">
      <c r="A24" s="5" t="s">
        <v>202</v>
      </c>
      <c r="B24" s="10" t="str">
        <f>IF(B23&lt;=1,"Motion có sales KHẢ THI",IF(B23&lt;=3,"Căng — cần tăng giá hoặc giảm chi phí bán hàng","KHÔNG KHẢ THI — đi PLG hoặc Partner-Led"))</f>
        <v>Motion có sales KHẢ THI</v>
      </c>
      <c r="C24" s="5"/>
      <c r="D24" s="5"/>
      <c r="E24" s="5"/>
      <c r="F24" s="5"/>
      <c r="G24" s="5" t="s">
        <v>692</v>
      </c>
      <c r="H24" s="24">
        <f>H22*H11</f>
        <v>1600</v>
      </c>
      <c r="I24" s="5" t="s">
        <v>693</v>
      </c>
      <c r="J24" s="5"/>
    </row>
    <row r="25" spans="1:10" ht="21.95" customHeight="1" x14ac:dyDescent="0.25">
      <c r="A25" s="5"/>
      <c r="B25" s="5"/>
      <c r="C25" s="5"/>
      <c r="D25" s="5"/>
      <c r="E25" s="5"/>
      <c r="F25" s="5"/>
      <c r="G25" s="5" t="s">
        <v>694</v>
      </c>
      <c r="H25" s="24">
        <f>H24/H23</f>
        <v>320</v>
      </c>
      <c r="I25" s="5" t="s">
        <v>695</v>
      </c>
      <c r="J25" s="5"/>
    </row>
    <row r="26" spans="1:10" ht="36" customHeight="1" x14ac:dyDescent="0.25">
      <c r="A26" s="15" t="s">
        <v>203</v>
      </c>
      <c r="B26" s="16"/>
      <c r="C26" s="16"/>
      <c r="D26" s="16"/>
      <c r="E26" s="16"/>
      <c r="F26" s="16"/>
      <c r="G26" s="16" t="s">
        <v>696</v>
      </c>
      <c r="H26" s="19" t="s">
        <v>697</v>
      </c>
      <c r="I26" s="5" t="s">
        <v>698</v>
      </c>
      <c r="J26" s="5"/>
    </row>
    <row r="27" spans="1:10" ht="21.95" customHeight="1" x14ac:dyDescent="0.25">
      <c r="A27" s="39" t="s">
        <v>204</v>
      </c>
      <c r="B27" s="39" t="s">
        <v>205</v>
      </c>
      <c r="C27" s="39" t="s">
        <v>206</v>
      </c>
      <c r="D27" s="39" t="s">
        <v>207</v>
      </c>
      <c r="E27" s="5"/>
      <c r="F27" s="5"/>
      <c r="G27" s="5"/>
      <c r="H27" s="5"/>
      <c r="I27" s="5"/>
      <c r="J27" s="5"/>
    </row>
    <row r="28" spans="1:10" ht="21.95" customHeight="1" x14ac:dyDescent="0.25">
      <c r="A28" s="5" t="s">
        <v>208</v>
      </c>
      <c r="B28" s="18">
        <v>2</v>
      </c>
      <c r="C28" s="18">
        <v>4</v>
      </c>
      <c r="D28" s="18">
        <v>2</v>
      </c>
      <c r="E28" s="5"/>
      <c r="F28" s="5"/>
      <c r="G28" s="5"/>
      <c r="H28" s="5"/>
      <c r="I28" s="5"/>
      <c r="J28" s="5"/>
    </row>
    <row r="29" spans="1:10" ht="21.95" customHeight="1" x14ac:dyDescent="0.25">
      <c r="A29" s="5" t="s">
        <v>209</v>
      </c>
      <c r="B29" s="18">
        <v>2</v>
      </c>
      <c r="C29" s="18">
        <v>4</v>
      </c>
      <c r="D29" s="18">
        <v>3</v>
      </c>
      <c r="E29" s="5"/>
      <c r="F29" s="5"/>
      <c r="G29" s="5"/>
      <c r="H29" s="5"/>
      <c r="I29" s="5"/>
      <c r="J29" s="5"/>
    </row>
    <row r="30" spans="1:10" ht="21.95" customHeight="1" x14ac:dyDescent="0.25">
      <c r="A30" s="5" t="s">
        <v>210</v>
      </c>
      <c r="B30" s="18">
        <v>2</v>
      </c>
      <c r="C30" s="18">
        <v>4</v>
      </c>
      <c r="D30" s="18">
        <v>1</v>
      </c>
      <c r="E30" s="5"/>
      <c r="F30" s="5"/>
      <c r="G30" s="5"/>
      <c r="H30" s="5"/>
      <c r="I30" s="5"/>
      <c r="J30" s="5"/>
    </row>
    <row r="31" spans="1:10" ht="36" customHeight="1" x14ac:dyDescent="0.25">
      <c r="A31" s="5" t="s">
        <v>211</v>
      </c>
      <c r="B31" s="18">
        <v>2</v>
      </c>
      <c r="C31" s="18">
        <v>3</v>
      </c>
      <c r="D31" s="18">
        <v>1</v>
      </c>
      <c r="E31" s="5"/>
      <c r="F31" s="5"/>
      <c r="G31" s="5"/>
      <c r="H31" s="5"/>
      <c r="I31" s="5"/>
      <c r="J31" s="5"/>
    </row>
    <row r="32" spans="1:10" ht="21.95" customHeight="1" x14ac:dyDescent="0.25">
      <c r="A32" s="5" t="s">
        <v>212</v>
      </c>
      <c r="B32" s="18">
        <v>3</v>
      </c>
      <c r="C32" s="18">
        <v>4</v>
      </c>
      <c r="D32" s="18">
        <v>3</v>
      </c>
      <c r="E32" s="5"/>
      <c r="F32" s="5"/>
      <c r="G32" s="5"/>
      <c r="H32" s="5"/>
      <c r="I32" s="5"/>
      <c r="J32" s="5"/>
    </row>
    <row r="33" spans="1:10" ht="21.95" customHeight="1" x14ac:dyDescent="0.25">
      <c r="A33" s="5" t="s">
        <v>213</v>
      </c>
      <c r="B33" s="18">
        <v>3</v>
      </c>
      <c r="C33" s="18">
        <v>4</v>
      </c>
      <c r="D33" s="18">
        <v>2</v>
      </c>
      <c r="E33" s="5"/>
      <c r="F33" s="5"/>
      <c r="G33" s="5"/>
      <c r="H33" s="5"/>
      <c r="I33" s="5"/>
      <c r="J33" s="5"/>
    </row>
    <row r="34" spans="1:10" ht="21.95" customHeight="1" x14ac:dyDescent="0.25">
      <c r="A34" s="13" t="s">
        <v>214</v>
      </c>
      <c r="B34" s="42">
        <f t="shared" ref="B34:D34" si="0">SUM(B28:B33)</f>
        <v>14</v>
      </c>
      <c r="C34" s="42">
        <f t="shared" si="0"/>
        <v>23</v>
      </c>
      <c r="D34" s="42">
        <f t="shared" si="0"/>
        <v>12</v>
      </c>
      <c r="E34" s="5"/>
      <c r="F34" s="5"/>
      <c r="G34" s="5"/>
      <c r="H34" s="5"/>
      <c r="I34" s="5"/>
      <c r="J34" s="5"/>
    </row>
    <row r="35" spans="1:10" ht="21.95" customHeight="1" x14ac:dyDescent="0.25">
      <c r="A35" s="13" t="s">
        <v>215</v>
      </c>
      <c r="B35" s="42" t="str">
        <f>IF(AND(B34&gt;=C34,B34&gt;=D34),"PLG",IF(C34&gt;=D34,"Sales-Led","Partner-Led"))</f>
        <v>Sales-Led</v>
      </c>
      <c r="C35" s="5"/>
      <c r="D35" s="5"/>
      <c r="E35" s="5"/>
      <c r="F35" s="5"/>
      <c r="G35" s="5"/>
      <c r="H35" s="5"/>
      <c r="I35" s="5"/>
      <c r="J35" s="5"/>
    </row>
    <row r="36" spans="1:10" ht="21.9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21.95" customHeight="1" x14ac:dyDescent="0.25">
      <c r="A37" s="15" t="s">
        <v>216</v>
      </c>
      <c r="B37" s="16"/>
      <c r="C37" s="16"/>
      <c r="D37" s="16"/>
      <c r="E37" s="16"/>
      <c r="F37" s="16"/>
      <c r="G37" s="16"/>
      <c r="H37" s="16"/>
      <c r="I37" s="5"/>
      <c r="J37" s="5"/>
    </row>
    <row r="38" spans="1:10" ht="21.95" customHeight="1" x14ac:dyDescent="0.25">
      <c r="A38" s="5" t="s">
        <v>217</v>
      </c>
      <c r="B38" s="8" t="s">
        <v>206</v>
      </c>
      <c r="C38" s="5"/>
      <c r="D38" s="14" t="s">
        <v>218</v>
      </c>
      <c r="E38" s="5"/>
      <c r="F38" s="5"/>
      <c r="G38" s="5"/>
      <c r="H38" s="5"/>
      <c r="I38" s="5"/>
      <c r="J38" s="5"/>
    </row>
    <row r="39" spans="1:10" ht="21.95" customHeight="1" x14ac:dyDescent="0.25">
      <c r="A39" s="5" t="s">
        <v>219</v>
      </c>
      <c r="B39" s="8" t="s">
        <v>699</v>
      </c>
      <c r="C39" s="5"/>
      <c r="D39" s="14" t="s">
        <v>220</v>
      </c>
      <c r="E39" s="5"/>
      <c r="F39" s="5"/>
      <c r="G39" s="5"/>
      <c r="H39" s="5"/>
      <c r="I39" s="5"/>
      <c r="J39" s="5"/>
    </row>
    <row r="40" spans="1:10" ht="21.95" customHeight="1" x14ac:dyDescent="0.25">
      <c r="A40" s="5" t="s">
        <v>221</v>
      </c>
      <c r="B40" s="8" t="s">
        <v>700</v>
      </c>
      <c r="C40" s="5"/>
      <c r="D40" s="5"/>
      <c r="E40" s="5"/>
      <c r="F40" s="5"/>
      <c r="G40" s="5"/>
      <c r="H40" s="5"/>
      <c r="I40" s="5"/>
      <c r="J40" s="5"/>
    </row>
    <row r="41" spans="1:10" ht="36" customHeight="1" x14ac:dyDescent="0.25">
      <c r="A41" s="5" t="s">
        <v>222</v>
      </c>
      <c r="B41" s="8" t="s">
        <v>701</v>
      </c>
      <c r="C41" s="5"/>
      <c r="D41" s="5"/>
      <c r="E41" s="5"/>
      <c r="F41" s="5"/>
      <c r="G41" s="5"/>
      <c r="H41" s="5"/>
      <c r="I41" s="5"/>
      <c r="J41" s="5"/>
    </row>
    <row r="42" spans="1:10" ht="63.95" customHeight="1" x14ac:dyDescent="0.25">
      <c r="A42" s="5" t="s">
        <v>223</v>
      </c>
      <c r="B42" s="8" t="s">
        <v>702</v>
      </c>
      <c r="C42" s="5"/>
      <c r="D42" s="14" t="s">
        <v>224</v>
      </c>
      <c r="E42" s="5"/>
      <c r="F42" s="5"/>
      <c r="G42" s="5"/>
      <c r="H42" s="5"/>
      <c r="I42" s="5"/>
      <c r="J42" s="5"/>
    </row>
    <row r="43" spans="1:10" ht="21.9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21.9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21.9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21.9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21.9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21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1.9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1.9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1.9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1.9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1.9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1.9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1.9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1.9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1.9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1.9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1.9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1.9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1.9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1.9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1.9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1.9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1.9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1.9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1.9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1.9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1.9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1.9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1.9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1.9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B7" xr:uid="{00000000-0002-0000-0400-000000000000}">
      <formula1>"SMB,Mid,Enterprise"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workbookViewId="0"/>
  </sheetViews>
  <sheetFormatPr defaultColWidth="14.42578125" defaultRowHeight="15" x14ac:dyDescent="0.25"/>
  <cols>
    <col min="1" max="1" width="58" customWidth="1"/>
    <col min="2" max="3" width="40" customWidth="1"/>
    <col min="4" max="4" width="48" customWidth="1"/>
    <col min="5" max="6" width="4" customWidth="1"/>
    <col min="7" max="7" width="48" customWidth="1"/>
    <col min="8" max="8" width="32" customWidth="1"/>
    <col min="9" max="9" width="64" customWidth="1"/>
    <col min="10" max="10" width="35" customWidth="1"/>
    <col min="11" max="26" width="8.7109375" customWidth="1"/>
  </cols>
  <sheetData>
    <row r="1" spans="1:10" ht="32.1" customHeight="1" x14ac:dyDescent="0.25">
      <c r="A1" s="1" t="s">
        <v>225</v>
      </c>
      <c r="B1" s="3"/>
      <c r="C1" s="3"/>
      <c r="D1" s="3"/>
      <c r="E1" s="3"/>
      <c r="F1" s="3"/>
      <c r="G1" s="3"/>
      <c r="H1" s="3"/>
      <c r="I1" s="4"/>
      <c r="J1" s="4"/>
    </row>
    <row r="2" spans="1:10" x14ac:dyDescent="0.25">
      <c r="A2" s="2" t="s">
        <v>226</v>
      </c>
      <c r="B2" s="4"/>
      <c r="C2" s="4"/>
      <c r="D2" s="4"/>
      <c r="E2" s="4"/>
      <c r="F2" s="4"/>
      <c r="G2" s="4"/>
      <c r="H2" s="4"/>
      <c r="I2" s="4"/>
      <c r="J2" s="4"/>
    </row>
    <row r="3" spans="1:10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1.95" customHeight="1" x14ac:dyDescent="0.25">
      <c r="A4" s="15" t="s">
        <v>227</v>
      </c>
      <c r="B4" s="16"/>
      <c r="C4" s="16"/>
      <c r="D4" s="16"/>
      <c r="E4" s="16"/>
      <c r="F4" s="16"/>
      <c r="G4" s="17" t="s">
        <v>703</v>
      </c>
      <c r="H4" s="17"/>
      <c r="I4" s="7"/>
      <c r="J4" s="7"/>
    </row>
    <row r="5" spans="1:10" ht="36" customHeight="1" x14ac:dyDescent="0.25">
      <c r="A5" s="5" t="s">
        <v>228</v>
      </c>
      <c r="B5" s="8" t="s">
        <v>704</v>
      </c>
      <c r="C5" s="5"/>
      <c r="D5" s="5"/>
      <c r="E5" s="5"/>
      <c r="F5" s="5"/>
      <c r="G5" s="5" t="s">
        <v>705</v>
      </c>
      <c r="H5" s="9" t="s">
        <v>706</v>
      </c>
      <c r="I5" s="5" t="s">
        <v>707</v>
      </c>
      <c r="J5" s="5"/>
    </row>
    <row r="6" spans="1:10" ht="50.1" customHeight="1" x14ac:dyDescent="0.25">
      <c r="A6" s="5" t="s">
        <v>229</v>
      </c>
      <c r="B6" s="8" t="s">
        <v>708</v>
      </c>
      <c r="C6" s="5"/>
      <c r="D6" s="5"/>
      <c r="E6" s="5"/>
      <c r="F6" s="5"/>
      <c r="G6" s="5" t="s">
        <v>709</v>
      </c>
      <c r="H6" s="9" t="s">
        <v>710</v>
      </c>
      <c r="I6" s="5" t="s">
        <v>711</v>
      </c>
      <c r="J6" s="5"/>
    </row>
    <row r="7" spans="1:10" ht="50.1" customHeight="1" x14ac:dyDescent="0.25">
      <c r="A7" s="5" t="s">
        <v>230</v>
      </c>
      <c r="B7" s="8" t="s">
        <v>712</v>
      </c>
      <c r="C7" s="5"/>
      <c r="D7" s="5"/>
      <c r="E7" s="5"/>
      <c r="F7" s="5"/>
      <c r="G7" s="5" t="s">
        <v>713</v>
      </c>
      <c r="H7" s="9" t="s">
        <v>714</v>
      </c>
      <c r="I7" s="5" t="s">
        <v>715</v>
      </c>
      <c r="J7" s="5"/>
    </row>
    <row r="8" spans="1:10" ht="90" customHeight="1" x14ac:dyDescent="0.25">
      <c r="A8" s="5" t="s">
        <v>231</v>
      </c>
      <c r="B8" s="8" t="s">
        <v>819</v>
      </c>
      <c r="C8" s="5"/>
      <c r="D8" s="14" t="s">
        <v>232</v>
      </c>
      <c r="E8" s="5"/>
      <c r="F8" s="5"/>
      <c r="G8" s="5" t="s">
        <v>139</v>
      </c>
      <c r="H8" s="9" t="s">
        <v>716</v>
      </c>
      <c r="I8" s="5" t="s">
        <v>717</v>
      </c>
      <c r="J8" s="5"/>
    </row>
    <row r="9" spans="1:10" ht="36" customHeight="1" x14ac:dyDescent="0.25">
      <c r="A9" s="5"/>
      <c r="B9" s="5"/>
      <c r="C9" s="5"/>
      <c r="D9" s="5"/>
      <c r="E9" s="5"/>
      <c r="F9" s="5"/>
      <c r="G9" s="5" t="s">
        <v>718</v>
      </c>
      <c r="H9" s="9" t="s">
        <v>719</v>
      </c>
      <c r="I9" s="5" t="s">
        <v>720</v>
      </c>
      <c r="J9" s="5"/>
    </row>
    <row r="10" spans="1:10" ht="36" customHeight="1" x14ac:dyDescent="0.25">
      <c r="A10" s="15" t="s">
        <v>233</v>
      </c>
      <c r="B10" s="16"/>
      <c r="C10" s="16"/>
      <c r="D10" s="16"/>
      <c r="E10" s="16"/>
      <c r="F10" s="16"/>
      <c r="G10" s="16" t="s">
        <v>721</v>
      </c>
      <c r="H10" s="19" t="s">
        <v>722</v>
      </c>
      <c r="I10" s="5" t="s">
        <v>723</v>
      </c>
      <c r="J10" s="5"/>
    </row>
    <row r="11" spans="1:10" ht="36" customHeight="1" x14ac:dyDescent="0.25">
      <c r="A11" s="39"/>
      <c r="B11" s="39" t="s">
        <v>234</v>
      </c>
      <c r="C11" s="39" t="s">
        <v>235</v>
      </c>
      <c r="D11" s="39" t="s">
        <v>236</v>
      </c>
      <c r="E11" s="5"/>
      <c r="F11" s="5"/>
      <c r="G11" s="5" t="s">
        <v>724</v>
      </c>
      <c r="H11" s="9" t="s">
        <v>725</v>
      </c>
      <c r="I11" s="5" t="s">
        <v>726</v>
      </c>
      <c r="J11" s="5"/>
    </row>
    <row r="12" spans="1:10" ht="36" customHeight="1" x14ac:dyDescent="0.25">
      <c r="A12" s="5" t="s">
        <v>237</v>
      </c>
      <c r="B12" s="8" t="s">
        <v>727</v>
      </c>
      <c r="C12" s="8" t="s">
        <v>728</v>
      </c>
      <c r="D12" s="8" t="s">
        <v>729</v>
      </c>
      <c r="E12" s="5"/>
      <c r="F12" s="5"/>
      <c r="G12" s="5" t="s">
        <v>730</v>
      </c>
      <c r="H12" s="9" t="s">
        <v>731</v>
      </c>
      <c r="I12" s="5" t="s">
        <v>732</v>
      </c>
      <c r="J12" s="5"/>
    </row>
    <row r="13" spans="1:10" ht="36" customHeight="1" x14ac:dyDescent="0.25">
      <c r="A13" s="5" t="s">
        <v>238</v>
      </c>
      <c r="B13" s="8" t="s">
        <v>733</v>
      </c>
      <c r="C13" s="8" t="s">
        <v>734</v>
      </c>
      <c r="D13" s="8" t="s">
        <v>735</v>
      </c>
      <c r="E13" s="5"/>
      <c r="F13" s="5"/>
      <c r="G13" s="5" t="s">
        <v>736</v>
      </c>
      <c r="H13" s="9" t="s">
        <v>737</v>
      </c>
      <c r="I13" s="5" t="s">
        <v>738</v>
      </c>
      <c r="J13" s="5"/>
    </row>
    <row r="14" spans="1:10" ht="69.95" customHeight="1" x14ac:dyDescent="0.25">
      <c r="A14" s="5" t="s">
        <v>239</v>
      </c>
      <c r="B14" s="8" t="s">
        <v>820</v>
      </c>
      <c r="C14" s="8" t="s">
        <v>739</v>
      </c>
      <c r="D14" s="8" t="s">
        <v>740</v>
      </c>
      <c r="E14" s="5"/>
      <c r="F14" s="5"/>
      <c r="G14" s="5" t="s">
        <v>427</v>
      </c>
      <c r="H14" s="9" t="s">
        <v>741</v>
      </c>
      <c r="I14" s="5" t="s">
        <v>742</v>
      </c>
      <c r="J14" s="5"/>
    </row>
    <row r="15" spans="1:10" ht="36" customHeight="1" x14ac:dyDescent="0.25">
      <c r="A15" s="5" t="s">
        <v>240</v>
      </c>
      <c r="B15" s="8" t="s">
        <v>743</v>
      </c>
      <c r="C15" s="8" t="s">
        <v>744</v>
      </c>
      <c r="D15" s="8" t="s">
        <v>745</v>
      </c>
      <c r="E15" s="5"/>
      <c r="F15" s="5"/>
      <c r="G15" s="5" t="s">
        <v>746</v>
      </c>
      <c r="H15" s="9" t="s">
        <v>747</v>
      </c>
      <c r="I15" s="5" t="s">
        <v>748</v>
      </c>
      <c r="J15" s="5"/>
    </row>
    <row r="16" spans="1:10" ht="63.95" customHeight="1" x14ac:dyDescent="0.25">
      <c r="A16" s="5" t="s">
        <v>241</v>
      </c>
      <c r="B16" s="8" t="s">
        <v>821</v>
      </c>
      <c r="C16" s="8" t="s">
        <v>749</v>
      </c>
      <c r="D16" s="8" t="s">
        <v>750</v>
      </c>
      <c r="E16" s="5"/>
      <c r="F16" s="5"/>
      <c r="G16" s="5" t="s">
        <v>751</v>
      </c>
      <c r="H16" s="9" t="s">
        <v>752</v>
      </c>
      <c r="I16" s="5" t="s">
        <v>753</v>
      </c>
      <c r="J16" s="5"/>
    </row>
    <row r="17" spans="1:10" ht="36" customHeight="1" x14ac:dyDescent="0.25">
      <c r="A17" s="5" t="s">
        <v>242</v>
      </c>
      <c r="B17" s="8" t="s">
        <v>754</v>
      </c>
      <c r="C17" s="8" t="s">
        <v>755</v>
      </c>
      <c r="D17" s="8" t="s">
        <v>756</v>
      </c>
      <c r="E17" s="5"/>
      <c r="F17" s="5"/>
      <c r="G17" s="5" t="s">
        <v>757</v>
      </c>
      <c r="H17" s="9" t="s">
        <v>844</v>
      </c>
      <c r="I17" s="5" t="s">
        <v>845</v>
      </c>
      <c r="J17" s="5"/>
    </row>
    <row r="18" spans="1:10" ht="36" customHeight="1" x14ac:dyDescent="0.25">
      <c r="A18" s="5" t="s">
        <v>243</v>
      </c>
      <c r="B18" s="8" t="s">
        <v>432</v>
      </c>
      <c r="C18" s="8" t="s">
        <v>758</v>
      </c>
      <c r="D18" s="8" t="s">
        <v>432</v>
      </c>
      <c r="E18" s="5"/>
      <c r="F18" s="5"/>
      <c r="G18" s="5"/>
      <c r="H18" s="5"/>
      <c r="I18" s="5"/>
      <c r="J18" s="5"/>
    </row>
    <row r="19" spans="1:10" ht="48" customHeight="1" x14ac:dyDescent="0.25">
      <c r="A19" s="14" t="s">
        <v>244</v>
      </c>
      <c r="B19" s="5"/>
      <c r="C19" s="5"/>
      <c r="D19" s="5"/>
      <c r="E19" s="5"/>
      <c r="F19" s="5"/>
      <c r="G19" s="74" t="s">
        <v>822</v>
      </c>
      <c r="H19" s="74"/>
      <c r="I19" s="74"/>
      <c r="J19" s="74"/>
    </row>
    <row r="20" spans="1:10" ht="48" customHeight="1" x14ac:dyDescent="0.25">
      <c r="A20" s="5"/>
      <c r="B20" s="5"/>
      <c r="C20" s="5"/>
      <c r="D20" s="5"/>
      <c r="E20" s="5"/>
      <c r="F20" s="5"/>
      <c r="G20" s="5" t="s">
        <v>823</v>
      </c>
      <c r="H20" s="9" t="s">
        <v>824</v>
      </c>
      <c r="I20" s="5" t="s">
        <v>825</v>
      </c>
      <c r="J20" s="5"/>
    </row>
    <row r="21" spans="1:10" ht="48" customHeight="1" x14ac:dyDescent="0.25">
      <c r="A21" s="15" t="s">
        <v>245</v>
      </c>
      <c r="B21" s="16"/>
      <c r="C21" s="16"/>
      <c r="D21" s="16"/>
      <c r="E21" s="16"/>
      <c r="F21" s="16"/>
      <c r="G21" s="5" t="s">
        <v>826</v>
      </c>
      <c r="H21" s="9" t="s">
        <v>824</v>
      </c>
      <c r="I21" s="5" t="s">
        <v>827</v>
      </c>
      <c r="J21" s="5"/>
    </row>
    <row r="22" spans="1:10" ht="48" customHeight="1" x14ac:dyDescent="0.25">
      <c r="A22" s="39" t="s">
        <v>246</v>
      </c>
      <c r="B22" s="39" t="s">
        <v>247</v>
      </c>
      <c r="C22" s="39" t="s">
        <v>248</v>
      </c>
      <c r="D22" s="39" t="s">
        <v>249</v>
      </c>
      <c r="E22" s="5"/>
      <c r="F22" s="5"/>
      <c r="G22" s="5" t="s">
        <v>828</v>
      </c>
      <c r="H22" s="76" t="str">
        <f>IF(AND(ISNUMBER(H20),ISNUMBER(H21)),IF(AND(H21&gt;0,H20&gt;=0,H20&lt;=H21),H20/H21,"Dữ liệu không hợp lệ"),"Chưa đo")</f>
        <v>Chưa đo</v>
      </c>
      <c r="I22" s="5" t="s">
        <v>829</v>
      </c>
      <c r="J22" s="5"/>
    </row>
    <row r="23" spans="1:10" ht="48" customHeight="1" x14ac:dyDescent="0.25">
      <c r="A23" s="5" t="s">
        <v>250</v>
      </c>
      <c r="B23" s="8" t="s">
        <v>700</v>
      </c>
      <c r="C23" s="8" t="s">
        <v>759</v>
      </c>
      <c r="D23" s="8" t="s">
        <v>760</v>
      </c>
      <c r="E23" s="5"/>
      <c r="F23" s="5"/>
      <c r="G23" s="5" t="s">
        <v>830</v>
      </c>
      <c r="H23" s="75" t="str">
        <f>IF(ISNUMBER(H22),IF(H22&gt;='2_Pricing'!H24,"Đạt ngưỡng ROI kế hoạch","Dưới ngưỡng ROI kế hoạch"),"Chưa đủ dữ liệu")</f>
        <v>Chưa đủ dữ liệu</v>
      </c>
      <c r="I23" s="5" t="s">
        <v>831</v>
      </c>
      <c r="J23" s="5"/>
    </row>
    <row r="24" spans="1:10" ht="48" customHeight="1" x14ac:dyDescent="0.25">
      <c r="A24" s="5" t="s">
        <v>251</v>
      </c>
      <c r="B24" s="8" t="s">
        <v>700</v>
      </c>
      <c r="C24" s="8" t="s">
        <v>761</v>
      </c>
      <c r="D24" s="8" t="s">
        <v>762</v>
      </c>
      <c r="E24" s="5"/>
      <c r="F24" s="5"/>
      <c r="G24" s="5" t="s">
        <v>832</v>
      </c>
      <c r="H24" s="9" t="s">
        <v>833</v>
      </c>
      <c r="I24" s="5" t="s">
        <v>834</v>
      </c>
      <c r="J24" s="5"/>
    </row>
    <row r="25" spans="1:10" ht="48" customHeight="1" x14ac:dyDescent="0.25">
      <c r="A25" s="5" t="s">
        <v>252</v>
      </c>
      <c r="B25" s="8" t="s">
        <v>700</v>
      </c>
      <c r="C25" s="8" t="s">
        <v>763</v>
      </c>
      <c r="D25" s="8" t="s">
        <v>764</v>
      </c>
      <c r="E25" s="5"/>
      <c r="F25" s="5"/>
      <c r="G25" s="5" t="s">
        <v>835</v>
      </c>
      <c r="H25" s="9" t="s">
        <v>836</v>
      </c>
      <c r="I25" s="5" t="s">
        <v>837</v>
      </c>
      <c r="J25" s="5"/>
    </row>
    <row r="26" spans="1:10" ht="48" customHeight="1" x14ac:dyDescent="0.25">
      <c r="A26" s="14" t="s">
        <v>253</v>
      </c>
      <c r="B26" s="5"/>
      <c r="C26" s="5"/>
      <c r="D26" s="5"/>
      <c r="E26" s="5"/>
      <c r="F26" s="5"/>
      <c r="G26" s="5" t="s">
        <v>838</v>
      </c>
      <c r="H26" s="9" t="s">
        <v>833</v>
      </c>
      <c r="I26" s="5" t="s">
        <v>839</v>
      </c>
      <c r="J26" s="5"/>
    </row>
    <row r="27" spans="1:10" ht="48" customHeight="1" x14ac:dyDescent="0.25">
      <c r="A27" s="5"/>
      <c r="B27" s="5"/>
      <c r="C27" s="5"/>
      <c r="D27" s="5"/>
      <c r="E27" s="5"/>
      <c r="F27" s="5"/>
      <c r="G27" s="5" t="s">
        <v>757</v>
      </c>
      <c r="H27" s="9" t="s">
        <v>846</v>
      </c>
      <c r="I27" s="5" t="s">
        <v>847</v>
      </c>
      <c r="J27" s="5"/>
    </row>
    <row r="28" spans="1:10" ht="36" customHeight="1" x14ac:dyDescent="0.25">
      <c r="A28" s="15" t="s">
        <v>254</v>
      </c>
      <c r="B28" s="16"/>
      <c r="C28" s="16"/>
      <c r="D28" s="16"/>
      <c r="E28" s="16"/>
      <c r="F28" s="16"/>
      <c r="G28" s="16"/>
      <c r="H28" s="16"/>
      <c r="I28" s="5"/>
      <c r="J28" s="5"/>
    </row>
    <row r="29" spans="1:10" ht="63.95" customHeight="1" x14ac:dyDescent="0.25">
      <c r="A29" s="5" t="s">
        <v>255</v>
      </c>
      <c r="B29" s="8" t="s">
        <v>848</v>
      </c>
      <c r="C29" s="5"/>
      <c r="D29" s="5" t="s">
        <v>849</v>
      </c>
      <c r="E29" s="5"/>
      <c r="F29" s="5"/>
      <c r="G29" s="5"/>
      <c r="H29" s="5"/>
      <c r="I29" s="5"/>
      <c r="J29" s="5"/>
    </row>
    <row r="30" spans="1:10" ht="63.95" customHeight="1" x14ac:dyDescent="0.25">
      <c r="A30" s="5" t="s">
        <v>256</v>
      </c>
      <c r="B30" s="8" t="s">
        <v>848</v>
      </c>
      <c r="C30" s="5"/>
      <c r="D30" s="5" t="s">
        <v>850</v>
      </c>
      <c r="E30" s="5"/>
      <c r="F30" s="5"/>
      <c r="G30" s="5"/>
      <c r="H30" s="5"/>
      <c r="I30" s="5"/>
      <c r="J30" s="5"/>
    </row>
    <row r="31" spans="1:10" ht="63.95" customHeight="1" x14ac:dyDescent="0.25">
      <c r="A31" s="5" t="s">
        <v>257</v>
      </c>
      <c r="B31" s="8" t="s">
        <v>848</v>
      </c>
      <c r="C31" s="5"/>
      <c r="D31" s="5" t="s">
        <v>851</v>
      </c>
      <c r="E31" s="5"/>
      <c r="F31" s="5"/>
      <c r="G31" s="5"/>
      <c r="H31" s="5"/>
      <c r="I31" s="5"/>
      <c r="J31" s="5"/>
    </row>
    <row r="32" spans="1:10" ht="63.95" customHeight="1" x14ac:dyDescent="0.25">
      <c r="A32" s="5" t="s">
        <v>258</v>
      </c>
      <c r="B32" s="8">
        <v>2</v>
      </c>
      <c r="C32" s="5"/>
      <c r="D32" s="5" t="s">
        <v>852</v>
      </c>
      <c r="E32" s="5"/>
      <c r="F32" s="5"/>
      <c r="G32" s="5"/>
      <c r="H32" s="5"/>
      <c r="I32" s="5"/>
      <c r="J32" s="5"/>
    </row>
    <row r="33" spans="1:10" ht="21.9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21.9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21.9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21.9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21.9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21.9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21.9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21.9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1.9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21.9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21.9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21.9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21.9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21.9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21.9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21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1.9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1.9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1.9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1.9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1.9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1.9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1.9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1.9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1.9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1.9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1.9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1.9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1.9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1.9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1.9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1.9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1.9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1.9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1.9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1.9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1.9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1.9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1.9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1.9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showGridLines="0" workbookViewId="0"/>
  </sheetViews>
  <sheetFormatPr defaultColWidth="14.42578125" defaultRowHeight="15" x14ac:dyDescent="0.25"/>
  <cols>
    <col min="1" max="1" width="58" customWidth="1"/>
    <col min="2" max="2" width="32" customWidth="1"/>
    <col min="3" max="3" width="24" customWidth="1"/>
    <col min="4" max="4" width="64" customWidth="1"/>
    <col min="5" max="5" width="66" customWidth="1"/>
    <col min="6" max="6" width="4" customWidth="1"/>
    <col min="7" max="7" width="48" customWidth="1"/>
    <col min="8" max="8" width="32" customWidth="1"/>
    <col min="9" max="9" width="64" customWidth="1"/>
    <col min="10" max="10" width="54" customWidth="1"/>
    <col min="11" max="26" width="8.7109375" customWidth="1"/>
  </cols>
  <sheetData>
    <row r="1" spans="1:10" ht="32.1" customHeight="1" x14ac:dyDescent="0.25">
      <c r="A1" s="1" t="s">
        <v>259</v>
      </c>
      <c r="B1" s="3"/>
      <c r="C1" s="3"/>
      <c r="D1" s="3"/>
      <c r="E1" s="3"/>
      <c r="F1" s="3"/>
      <c r="G1" s="3"/>
      <c r="H1" s="3"/>
      <c r="I1" s="4"/>
      <c r="J1" s="4"/>
    </row>
    <row r="2" spans="1:10" x14ac:dyDescent="0.25">
      <c r="A2" s="2" t="s">
        <v>765</v>
      </c>
      <c r="B2" s="4"/>
      <c r="C2" s="4"/>
      <c r="D2" s="4"/>
      <c r="E2" s="4"/>
      <c r="F2" s="4"/>
      <c r="G2" s="4"/>
      <c r="H2" s="4"/>
      <c r="I2" s="4"/>
      <c r="J2" s="4"/>
    </row>
    <row r="3" spans="1:10" ht="21.95" customHeight="1" x14ac:dyDescent="0.25">
      <c r="A3" s="5" t="s">
        <v>260</v>
      </c>
      <c r="B3" s="47">
        <v>46303</v>
      </c>
      <c r="C3" s="5"/>
      <c r="D3" s="14" t="s">
        <v>261</v>
      </c>
      <c r="E3" s="5"/>
      <c r="F3" s="5"/>
      <c r="G3" s="5"/>
      <c r="H3" s="5"/>
      <c r="I3" s="5"/>
      <c r="J3" s="5"/>
    </row>
    <row r="4" spans="1:10" ht="21.95" customHeight="1" x14ac:dyDescent="0.25">
      <c r="A4" s="5"/>
      <c r="B4" s="5"/>
      <c r="C4" s="5"/>
      <c r="D4" s="5"/>
      <c r="E4" s="5"/>
      <c r="F4" s="5"/>
      <c r="G4" s="7" t="s">
        <v>766</v>
      </c>
      <c r="H4" s="7"/>
      <c r="I4" s="7"/>
      <c r="J4" s="7"/>
    </row>
    <row r="5" spans="1:10" ht="21.95" customHeight="1" x14ac:dyDescent="0.25">
      <c r="A5" s="48" t="s">
        <v>262</v>
      </c>
      <c r="B5" s="48" t="s">
        <v>263</v>
      </c>
      <c r="C5" s="48" t="s">
        <v>264</v>
      </c>
      <c r="D5" s="48" t="s">
        <v>265</v>
      </c>
      <c r="E5" s="48" t="s">
        <v>266</v>
      </c>
      <c r="F5" s="5"/>
      <c r="G5" s="5" t="s">
        <v>263</v>
      </c>
      <c r="H5" s="5" t="s">
        <v>767</v>
      </c>
      <c r="I5" s="5" t="s">
        <v>768</v>
      </c>
      <c r="J5" s="5" t="s">
        <v>769</v>
      </c>
    </row>
    <row r="6" spans="1:10" ht="36" customHeight="1" x14ac:dyDescent="0.25">
      <c r="A6" s="12" t="s">
        <v>102</v>
      </c>
      <c r="B6" s="12" t="s">
        <v>267</v>
      </c>
      <c r="C6" s="12" t="s">
        <v>268</v>
      </c>
      <c r="D6" s="12" t="s">
        <v>269</v>
      </c>
      <c r="E6" s="49" t="s">
        <v>270</v>
      </c>
      <c r="F6" s="5"/>
      <c r="G6" s="5" t="s">
        <v>770</v>
      </c>
      <c r="H6" s="5" t="s">
        <v>771</v>
      </c>
      <c r="I6" s="5" t="s">
        <v>772</v>
      </c>
      <c r="J6" s="5" t="s">
        <v>773</v>
      </c>
    </row>
    <row r="7" spans="1:10" ht="36" customHeight="1" x14ac:dyDescent="0.25">
      <c r="A7" s="12" t="s">
        <v>102</v>
      </c>
      <c r="B7" s="12" t="s">
        <v>271</v>
      </c>
      <c r="C7" s="12" t="s">
        <v>272</v>
      </c>
      <c r="D7" s="12" t="s">
        <v>269</v>
      </c>
      <c r="E7" s="49" t="s">
        <v>270</v>
      </c>
      <c r="F7" s="5"/>
      <c r="G7" s="5" t="s">
        <v>774</v>
      </c>
      <c r="H7" s="5" t="s">
        <v>775</v>
      </c>
      <c r="I7" s="5" t="s">
        <v>776</v>
      </c>
      <c r="J7" s="5" t="s">
        <v>777</v>
      </c>
    </row>
    <row r="8" spans="1:10" ht="36" customHeight="1" x14ac:dyDescent="0.25">
      <c r="A8" s="12" t="s">
        <v>102</v>
      </c>
      <c r="B8" s="12" t="s">
        <v>273</v>
      </c>
      <c r="C8" s="12" t="s">
        <v>274</v>
      </c>
      <c r="D8" s="12" t="s">
        <v>269</v>
      </c>
      <c r="E8" s="49" t="s">
        <v>270</v>
      </c>
      <c r="F8" s="5"/>
      <c r="G8" s="5" t="s">
        <v>778</v>
      </c>
      <c r="H8" s="5" t="s">
        <v>779</v>
      </c>
      <c r="I8" s="5" t="s">
        <v>780</v>
      </c>
      <c r="J8" s="5" t="s">
        <v>781</v>
      </c>
    </row>
    <row r="9" spans="1:10" ht="36" customHeight="1" x14ac:dyDescent="0.25">
      <c r="A9" s="12" t="s">
        <v>102</v>
      </c>
      <c r="B9" s="12" t="s">
        <v>275</v>
      </c>
      <c r="C9" s="12" t="s">
        <v>276</v>
      </c>
      <c r="D9" s="12" t="s">
        <v>277</v>
      </c>
      <c r="E9" s="49" t="s">
        <v>270</v>
      </c>
      <c r="F9" s="5"/>
      <c r="G9" s="5" t="s">
        <v>782</v>
      </c>
      <c r="H9" s="5" t="s">
        <v>783</v>
      </c>
      <c r="I9" s="5" t="s">
        <v>780</v>
      </c>
      <c r="J9" s="5" t="s">
        <v>784</v>
      </c>
    </row>
    <row r="10" spans="1:10" ht="63.95" customHeight="1" x14ac:dyDescent="0.25">
      <c r="A10" s="12" t="s">
        <v>102</v>
      </c>
      <c r="B10" s="12" t="s">
        <v>278</v>
      </c>
      <c r="C10" s="12" t="s">
        <v>279</v>
      </c>
      <c r="D10" s="12" t="s">
        <v>269</v>
      </c>
      <c r="E10" s="49" t="s">
        <v>280</v>
      </c>
      <c r="F10" s="5"/>
      <c r="G10" s="5" t="s">
        <v>641</v>
      </c>
      <c r="H10" s="5" t="s">
        <v>840</v>
      </c>
      <c r="I10" s="5" t="s">
        <v>643</v>
      </c>
      <c r="J10" s="5" t="s">
        <v>841</v>
      </c>
    </row>
    <row r="11" spans="1:10" ht="36" customHeight="1" x14ac:dyDescent="0.25">
      <c r="A11" s="12" t="s">
        <v>102</v>
      </c>
      <c r="B11" s="12" t="s">
        <v>281</v>
      </c>
      <c r="C11" s="12" t="s">
        <v>282</v>
      </c>
      <c r="D11" s="12" t="s">
        <v>269</v>
      </c>
      <c r="E11" s="49" t="s">
        <v>283</v>
      </c>
      <c r="F11" s="5"/>
      <c r="G11" s="5" t="s">
        <v>785</v>
      </c>
      <c r="H11" s="5" t="s">
        <v>786</v>
      </c>
      <c r="I11" s="5" t="s">
        <v>647</v>
      </c>
      <c r="J11" s="5" t="s">
        <v>787</v>
      </c>
    </row>
    <row r="12" spans="1:10" ht="36" customHeight="1" x14ac:dyDescent="0.25">
      <c r="A12" s="12" t="s">
        <v>102</v>
      </c>
      <c r="B12" s="12" t="s">
        <v>284</v>
      </c>
      <c r="C12" s="12" t="s">
        <v>285</v>
      </c>
      <c r="D12" s="12" t="s">
        <v>277</v>
      </c>
      <c r="E12" s="49" t="s">
        <v>283</v>
      </c>
      <c r="F12" s="5"/>
      <c r="G12" s="5" t="s">
        <v>788</v>
      </c>
      <c r="H12" s="5" t="s">
        <v>789</v>
      </c>
      <c r="I12" s="5" t="s">
        <v>790</v>
      </c>
      <c r="J12" s="5" t="s">
        <v>791</v>
      </c>
    </row>
    <row r="13" spans="1:10" ht="36" customHeight="1" x14ac:dyDescent="0.25">
      <c r="A13" s="12" t="s">
        <v>102</v>
      </c>
      <c r="B13" s="12" t="s">
        <v>286</v>
      </c>
      <c r="C13" s="12" t="s">
        <v>287</v>
      </c>
      <c r="D13" s="12" t="s">
        <v>269</v>
      </c>
      <c r="E13" s="49" t="s">
        <v>288</v>
      </c>
      <c r="F13" s="5"/>
      <c r="G13" s="5" t="s">
        <v>792</v>
      </c>
      <c r="H13" s="5" t="s">
        <v>793</v>
      </c>
      <c r="I13" s="5" t="s">
        <v>794</v>
      </c>
      <c r="J13" s="5" t="s">
        <v>795</v>
      </c>
    </row>
    <row r="14" spans="1:10" ht="36" customHeight="1" x14ac:dyDescent="0.25">
      <c r="A14" s="12" t="s">
        <v>102</v>
      </c>
      <c r="B14" s="12" t="s">
        <v>289</v>
      </c>
      <c r="C14" s="12" t="s">
        <v>290</v>
      </c>
      <c r="D14" s="12" t="s">
        <v>269</v>
      </c>
      <c r="E14" s="49" t="s">
        <v>291</v>
      </c>
      <c r="F14" s="5"/>
      <c r="G14" s="5" t="s">
        <v>796</v>
      </c>
      <c r="H14" s="5" t="s">
        <v>639</v>
      </c>
      <c r="I14" s="5" t="s">
        <v>797</v>
      </c>
      <c r="J14" s="5" t="s">
        <v>798</v>
      </c>
    </row>
    <row r="15" spans="1:10" ht="36" customHeight="1" x14ac:dyDescent="0.25">
      <c r="A15" s="12" t="s">
        <v>292</v>
      </c>
      <c r="B15" s="12" t="s">
        <v>293</v>
      </c>
      <c r="C15" s="12" t="s">
        <v>294</v>
      </c>
      <c r="D15" s="12" t="s">
        <v>295</v>
      </c>
      <c r="E15" s="49" t="s">
        <v>296</v>
      </c>
      <c r="F15" s="5"/>
      <c r="G15" s="5"/>
      <c r="H15" s="5"/>
      <c r="I15" s="5"/>
      <c r="J15" s="5"/>
    </row>
    <row r="16" spans="1:10" ht="36" customHeight="1" x14ac:dyDescent="0.25">
      <c r="A16" s="12" t="s">
        <v>292</v>
      </c>
      <c r="B16" s="12" t="s">
        <v>297</v>
      </c>
      <c r="C16" s="12" t="s">
        <v>298</v>
      </c>
      <c r="D16" s="12" t="s">
        <v>295</v>
      </c>
      <c r="E16" s="49" t="s">
        <v>299</v>
      </c>
      <c r="F16" s="5"/>
      <c r="G16" s="5"/>
      <c r="H16" s="5"/>
      <c r="I16" s="5"/>
      <c r="J16" s="5"/>
    </row>
    <row r="17" spans="1:10" ht="36" customHeight="1" x14ac:dyDescent="0.25">
      <c r="A17" s="12" t="s">
        <v>292</v>
      </c>
      <c r="B17" s="12" t="s">
        <v>300</v>
      </c>
      <c r="C17" s="12" t="s">
        <v>301</v>
      </c>
      <c r="D17" s="12" t="s">
        <v>295</v>
      </c>
      <c r="E17" s="49" t="s">
        <v>302</v>
      </c>
      <c r="F17" s="5"/>
      <c r="G17" s="5"/>
      <c r="H17" s="5"/>
      <c r="I17" s="5"/>
      <c r="J17" s="5"/>
    </row>
    <row r="18" spans="1:10" ht="36" customHeight="1" x14ac:dyDescent="0.25">
      <c r="A18" s="12" t="s">
        <v>292</v>
      </c>
      <c r="B18" s="12" t="s">
        <v>303</v>
      </c>
      <c r="C18" s="12" t="s">
        <v>304</v>
      </c>
      <c r="D18" s="12" t="s">
        <v>295</v>
      </c>
      <c r="E18" s="49" t="s">
        <v>283</v>
      </c>
      <c r="F18" s="5"/>
      <c r="G18" s="5"/>
      <c r="H18" s="5"/>
      <c r="I18" s="5"/>
      <c r="J18" s="5"/>
    </row>
    <row r="19" spans="1:10" ht="21.95" customHeight="1" x14ac:dyDescent="0.25">
      <c r="A19" s="12" t="s">
        <v>305</v>
      </c>
      <c r="B19" s="12" t="s">
        <v>306</v>
      </c>
      <c r="C19" s="12" t="s">
        <v>307</v>
      </c>
      <c r="D19" s="12" t="s">
        <v>308</v>
      </c>
      <c r="E19" s="49" t="s">
        <v>309</v>
      </c>
      <c r="F19" s="5"/>
      <c r="G19" s="5"/>
      <c r="H19" s="5"/>
      <c r="I19" s="5"/>
      <c r="J19" s="5"/>
    </row>
    <row r="20" spans="1:10" ht="21.95" customHeight="1" x14ac:dyDescent="0.25">
      <c r="A20" s="12" t="s">
        <v>305</v>
      </c>
      <c r="B20" s="12" t="s">
        <v>310</v>
      </c>
      <c r="C20" s="12" t="s">
        <v>311</v>
      </c>
      <c r="D20" s="12" t="s">
        <v>308</v>
      </c>
      <c r="E20" s="49" t="s">
        <v>283</v>
      </c>
      <c r="F20" s="5"/>
      <c r="G20" s="5"/>
      <c r="H20" s="5"/>
      <c r="I20" s="5"/>
      <c r="J20" s="5"/>
    </row>
    <row r="21" spans="1:10" ht="21.95" customHeight="1" x14ac:dyDescent="0.25">
      <c r="A21" s="12" t="s">
        <v>305</v>
      </c>
      <c r="B21" s="12" t="s">
        <v>312</v>
      </c>
      <c r="C21" s="12" t="s">
        <v>313</v>
      </c>
      <c r="D21" s="12" t="s">
        <v>308</v>
      </c>
      <c r="E21" s="49" t="s">
        <v>314</v>
      </c>
      <c r="F21" s="5"/>
      <c r="G21" s="5"/>
      <c r="H21" s="5"/>
      <c r="I21" s="5"/>
      <c r="J21" s="5"/>
    </row>
    <row r="22" spans="1:10" ht="36" customHeight="1" x14ac:dyDescent="0.25">
      <c r="A22" s="12" t="s">
        <v>305</v>
      </c>
      <c r="B22" s="12" t="s">
        <v>315</v>
      </c>
      <c r="C22" s="12" t="s">
        <v>316</v>
      </c>
      <c r="D22" s="12" t="s">
        <v>308</v>
      </c>
      <c r="E22" s="49" t="s">
        <v>314</v>
      </c>
      <c r="F22" s="5"/>
      <c r="G22" s="5"/>
      <c r="H22" s="5"/>
      <c r="I22" s="5"/>
      <c r="J22" s="5"/>
    </row>
    <row r="23" spans="1:10" ht="21.95" customHeight="1" x14ac:dyDescent="0.25">
      <c r="A23" s="12" t="s">
        <v>317</v>
      </c>
      <c r="B23" s="12" t="s">
        <v>318</v>
      </c>
      <c r="C23" s="12" t="s">
        <v>319</v>
      </c>
      <c r="D23" s="12" t="s">
        <v>320</v>
      </c>
      <c r="E23" s="49" t="s">
        <v>321</v>
      </c>
      <c r="F23" s="5"/>
      <c r="G23" s="5"/>
      <c r="H23" s="5"/>
      <c r="I23" s="5"/>
      <c r="J23" s="5"/>
    </row>
    <row r="24" spans="1:10" ht="21.95" customHeight="1" x14ac:dyDescent="0.25">
      <c r="A24" s="12" t="s">
        <v>322</v>
      </c>
      <c r="B24" s="12" t="s">
        <v>323</v>
      </c>
      <c r="C24" s="12" t="s">
        <v>324</v>
      </c>
      <c r="D24" s="12" t="s">
        <v>325</v>
      </c>
      <c r="E24" s="49" t="s">
        <v>326</v>
      </c>
      <c r="F24" s="5"/>
      <c r="G24" s="5"/>
      <c r="H24" s="5"/>
      <c r="I24" s="5"/>
      <c r="J24" s="5"/>
    </row>
    <row r="25" spans="1:10" ht="21.95" customHeight="1" x14ac:dyDescent="0.25">
      <c r="A25" s="12" t="s">
        <v>322</v>
      </c>
      <c r="B25" s="12" t="s">
        <v>327</v>
      </c>
      <c r="C25" s="12" t="s">
        <v>328</v>
      </c>
      <c r="D25" s="12" t="s">
        <v>325</v>
      </c>
      <c r="E25" s="49" t="s">
        <v>329</v>
      </c>
      <c r="F25" s="5"/>
      <c r="G25" s="5"/>
      <c r="H25" s="5"/>
      <c r="I25" s="5"/>
      <c r="J25" s="5"/>
    </row>
    <row r="26" spans="1:10" ht="36" customHeight="1" x14ac:dyDescent="0.25">
      <c r="A26" s="12" t="s">
        <v>322</v>
      </c>
      <c r="B26" s="12" t="s">
        <v>330</v>
      </c>
      <c r="C26" s="12" t="s">
        <v>331</v>
      </c>
      <c r="D26" s="12" t="s">
        <v>277</v>
      </c>
      <c r="E26" s="49" t="s">
        <v>332</v>
      </c>
      <c r="F26" s="5"/>
      <c r="G26" s="5"/>
      <c r="H26" s="5"/>
      <c r="I26" s="5"/>
      <c r="J26" s="5"/>
    </row>
    <row r="27" spans="1:10" ht="21.95" customHeight="1" x14ac:dyDescent="0.25">
      <c r="A27" s="12" t="s">
        <v>333</v>
      </c>
      <c r="B27" s="12" t="s">
        <v>334</v>
      </c>
      <c r="C27" s="12" t="s">
        <v>335</v>
      </c>
      <c r="D27" s="12" t="s">
        <v>336</v>
      </c>
      <c r="E27" s="49" t="s">
        <v>337</v>
      </c>
      <c r="F27" s="5"/>
      <c r="G27" s="5"/>
      <c r="H27" s="5"/>
      <c r="I27" s="5"/>
      <c r="J27" s="5"/>
    </row>
    <row r="28" spans="1:10" ht="36" customHeight="1" x14ac:dyDescent="0.25">
      <c r="A28" s="12" t="s">
        <v>333</v>
      </c>
      <c r="B28" s="12" t="s">
        <v>338</v>
      </c>
      <c r="C28" s="12" t="s">
        <v>339</v>
      </c>
      <c r="D28" s="12" t="s">
        <v>336</v>
      </c>
      <c r="E28" s="49" t="s">
        <v>337</v>
      </c>
      <c r="F28" s="5"/>
      <c r="G28" s="5"/>
      <c r="H28" s="5"/>
      <c r="I28" s="5"/>
      <c r="J28" s="5"/>
    </row>
    <row r="29" spans="1:10" ht="36" customHeight="1" x14ac:dyDescent="0.25">
      <c r="A29" s="12" t="s">
        <v>333</v>
      </c>
      <c r="B29" s="12" t="s">
        <v>340</v>
      </c>
      <c r="C29" s="12" t="s">
        <v>341</v>
      </c>
      <c r="D29" s="12" t="s">
        <v>342</v>
      </c>
      <c r="E29" s="49" t="s">
        <v>343</v>
      </c>
      <c r="F29" s="5"/>
      <c r="G29" s="5"/>
      <c r="H29" s="5"/>
      <c r="I29" s="5"/>
      <c r="J29" s="5"/>
    </row>
    <row r="30" spans="1:10" ht="36" customHeight="1" x14ac:dyDescent="0.25">
      <c r="A30" s="12" t="s">
        <v>333</v>
      </c>
      <c r="B30" s="12" t="s">
        <v>344</v>
      </c>
      <c r="C30" s="12" t="s">
        <v>345</v>
      </c>
      <c r="D30" s="12" t="s">
        <v>346</v>
      </c>
      <c r="E30" s="49" t="s">
        <v>347</v>
      </c>
      <c r="F30" s="5"/>
      <c r="G30" s="5"/>
      <c r="H30" s="5"/>
      <c r="I30" s="5"/>
      <c r="J30" s="5"/>
    </row>
    <row r="31" spans="1:10" ht="36" customHeight="1" x14ac:dyDescent="0.25">
      <c r="A31" s="12" t="s">
        <v>333</v>
      </c>
      <c r="B31" s="12" t="s">
        <v>348</v>
      </c>
      <c r="C31" s="12" t="s">
        <v>349</v>
      </c>
      <c r="D31" s="12" t="s">
        <v>350</v>
      </c>
      <c r="E31" s="49" t="s">
        <v>347</v>
      </c>
      <c r="F31" s="5"/>
      <c r="G31" s="5"/>
      <c r="H31" s="5"/>
      <c r="I31" s="5"/>
      <c r="J31" s="5"/>
    </row>
    <row r="32" spans="1:10" ht="21.95" customHeight="1" x14ac:dyDescent="0.25">
      <c r="A32" s="12" t="s">
        <v>333</v>
      </c>
      <c r="B32" s="12" t="s">
        <v>351</v>
      </c>
      <c r="C32" s="12" t="s">
        <v>352</v>
      </c>
      <c r="D32" s="12" t="s">
        <v>346</v>
      </c>
      <c r="E32" s="49" t="s">
        <v>353</v>
      </c>
      <c r="F32" s="5"/>
      <c r="G32" s="5"/>
      <c r="H32" s="5"/>
      <c r="I32" s="5"/>
      <c r="J32" s="5"/>
    </row>
    <row r="33" spans="1:10" ht="36" customHeight="1" x14ac:dyDescent="0.25">
      <c r="A33" s="12" t="s">
        <v>333</v>
      </c>
      <c r="B33" s="12" t="s">
        <v>354</v>
      </c>
      <c r="C33" s="12" t="s">
        <v>355</v>
      </c>
      <c r="D33" s="12" t="s">
        <v>356</v>
      </c>
      <c r="E33" s="49" t="s">
        <v>353</v>
      </c>
      <c r="F33" s="5"/>
      <c r="G33" s="5"/>
      <c r="H33" s="5"/>
      <c r="I33" s="5"/>
      <c r="J33" s="5"/>
    </row>
    <row r="34" spans="1:10" ht="21.95" customHeight="1" x14ac:dyDescent="0.25">
      <c r="A34" s="12" t="s">
        <v>333</v>
      </c>
      <c r="B34" s="12" t="s">
        <v>357</v>
      </c>
      <c r="C34" s="12" t="s">
        <v>358</v>
      </c>
      <c r="D34" s="12" t="s">
        <v>359</v>
      </c>
      <c r="E34" s="49" t="s">
        <v>360</v>
      </c>
      <c r="F34" s="5"/>
      <c r="G34" s="5"/>
      <c r="H34" s="5"/>
      <c r="I34" s="5"/>
      <c r="J34" s="5"/>
    </row>
    <row r="35" spans="1:10" ht="36" customHeight="1" x14ac:dyDescent="0.25">
      <c r="A35" s="12" t="s">
        <v>361</v>
      </c>
      <c r="B35" s="12" t="s">
        <v>362</v>
      </c>
      <c r="C35" s="12" t="s">
        <v>363</v>
      </c>
      <c r="D35" s="12" t="s">
        <v>364</v>
      </c>
      <c r="E35" s="49" t="s">
        <v>365</v>
      </c>
      <c r="F35" s="5"/>
      <c r="G35" s="5"/>
      <c r="H35" s="5"/>
      <c r="I35" s="5"/>
      <c r="J35" s="5"/>
    </row>
    <row r="36" spans="1:10" ht="36" customHeight="1" x14ac:dyDescent="0.25">
      <c r="A36" s="12" t="s">
        <v>361</v>
      </c>
      <c r="B36" s="12" t="s">
        <v>366</v>
      </c>
      <c r="C36" s="12" t="s">
        <v>367</v>
      </c>
      <c r="D36" s="12" t="s">
        <v>364</v>
      </c>
      <c r="E36" s="49" t="s">
        <v>368</v>
      </c>
      <c r="F36" s="5"/>
      <c r="G36" s="5"/>
      <c r="H36" s="5"/>
      <c r="I36" s="5"/>
      <c r="J36" s="5"/>
    </row>
    <row r="37" spans="1:10" ht="36" customHeight="1" x14ac:dyDescent="0.25">
      <c r="A37" s="12" t="s">
        <v>361</v>
      </c>
      <c r="B37" s="12" t="s">
        <v>369</v>
      </c>
      <c r="C37" s="12" t="s">
        <v>370</v>
      </c>
      <c r="D37" s="12" t="s">
        <v>364</v>
      </c>
      <c r="E37" s="49" t="s">
        <v>371</v>
      </c>
      <c r="F37" s="5"/>
      <c r="G37" s="5"/>
      <c r="H37" s="5"/>
      <c r="I37" s="5"/>
      <c r="J37" s="5"/>
    </row>
    <row r="38" spans="1:10" ht="36" customHeight="1" x14ac:dyDescent="0.25">
      <c r="A38" s="12" t="s">
        <v>361</v>
      </c>
      <c r="B38" s="12" t="s">
        <v>372</v>
      </c>
      <c r="C38" s="12" t="s">
        <v>373</v>
      </c>
      <c r="D38" s="12" t="s">
        <v>183</v>
      </c>
      <c r="E38" s="49" t="s">
        <v>368</v>
      </c>
      <c r="F38" s="5"/>
      <c r="G38" s="5"/>
      <c r="H38" s="5"/>
      <c r="I38" s="5"/>
      <c r="J38" s="5"/>
    </row>
    <row r="39" spans="1:10" ht="21.95" customHeight="1" x14ac:dyDescent="0.25">
      <c r="A39" s="12" t="s">
        <v>361</v>
      </c>
      <c r="B39" s="12" t="s">
        <v>374</v>
      </c>
      <c r="C39" s="12" t="s">
        <v>375</v>
      </c>
      <c r="D39" s="12" t="s">
        <v>376</v>
      </c>
      <c r="E39" s="49" t="s">
        <v>377</v>
      </c>
      <c r="F39" s="5"/>
      <c r="G39" s="5"/>
      <c r="H39" s="5"/>
      <c r="I39" s="5"/>
      <c r="J39" s="5"/>
    </row>
    <row r="40" spans="1:10" ht="36" customHeight="1" x14ac:dyDescent="0.25">
      <c r="A40" s="12" t="s">
        <v>361</v>
      </c>
      <c r="B40" s="12" t="s">
        <v>378</v>
      </c>
      <c r="C40" s="12" t="s">
        <v>379</v>
      </c>
      <c r="D40" s="12" t="s">
        <v>380</v>
      </c>
      <c r="E40" s="49" t="s">
        <v>381</v>
      </c>
      <c r="F40" s="5"/>
      <c r="G40" s="5"/>
      <c r="H40" s="5"/>
      <c r="I40" s="5"/>
      <c r="J40" s="5"/>
    </row>
    <row r="41" spans="1:10" ht="21.95" customHeight="1" x14ac:dyDescent="0.25">
      <c r="A41" s="12" t="s">
        <v>361</v>
      </c>
      <c r="B41" s="12" t="s">
        <v>382</v>
      </c>
      <c r="C41" s="12" t="s">
        <v>383</v>
      </c>
      <c r="D41" s="12" t="s">
        <v>384</v>
      </c>
      <c r="E41" s="49" t="s">
        <v>385</v>
      </c>
      <c r="F41" s="5"/>
      <c r="G41" s="5"/>
      <c r="H41" s="5"/>
      <c r="I41" s="5"/>
      <c r="J41" s="5"/>
    </row>
    <row r="42" spans="1:10" ht="21.9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50.1" customHeight="1" x14ac:dyDescent="0.25">
      <c r="A43" s="14" t="s">
        <v>386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ht="21.9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21.9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21.9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21.9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21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1.9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1.9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1.9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1.9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1.9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1.9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1.9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1.9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1.9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1.9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1.9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1.9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1.9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1.9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1.9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1.9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1.9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1.9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1.9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1.9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1.9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1.9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1.9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1.9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store342</cp:lastModifiedBy>
  <dcterms:created xsi:type="dcterms:W3CDTF">2026-10-08T06:28:13Z</dcterms:created>
  <dcterms:modified xsi:type="dcterms:W3CDTF">2026-10-08T14:23:22Z</dcterms:modified>
</cp:coreProperties>
</file>